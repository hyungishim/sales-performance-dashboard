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yun-gishim/Desktop/Data Analyst/Project/"/>
    </mc:Choice>
  </mc:AlternateContent>
  <xr:revisionPtr revIDLastSave="0" documentId="13_ncr:1_{DA26E9A5-2438-4B42-A350-3BB34BF466D3}" xr6:coauthVersionLast="47" xr6:coauthVersionMax="47" xr10:uidLastSave="{00000000-0000-0000-0000-000000000000}"/>
  <bookViews>
    <workbookView xWindow="0" yWindow="0" windowWidth="38400" windowHeight="21600" xr2:uid="{B5036AC3-83F3-4271-8F1E-3FFD86F480F0}"/>
  </bookViews>
  <sheets>
    <sheet name="Dashboard" sheetId="8" r:id="rId1"/>
    <sheet name="Data" sheetId="1" r:id="rId2"/>
    <sheet name="Profit margin" sheetId="12" r:id="rId3"/>
    <sheet name="Sales Trend by Month" sheetId="7" r:id="rId4"/>
    <sheet name="Profit Trend by Month" sheetId="10" r:id="rId5"/>
    <sheet name="Profit By Region" sheetId="5" r:id="rId6"/>
    <sheet name="Top products " sheetId="6" r:id="rId7"/>
  </sheets>
  <calcPr calcId="191029"/>
  <pivotCaches>
    <pivotCache cacheId="2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8" l="1"/>
  <c r="C4" i="12"/>
</calcChain>
</file>

<file path=xl/sharedStrings.xml><?xml version="1.0" encoding="utf-8"?>
<sst xmlns="http://schemas.openxmlformats.org/spreadsheetml/2006/main" count="254" uniqueCount="34">
  <si>
    <t>Date</t>
  </si>
  <si>
    <t>Region</t>
  </si>
  <si>
    <t>Product</t>
  </si>
  <si>
    <t>Quantity</t>
  </si>
  <si>
    <t>Sales</t>
  </si>
  <si>
    <t>Profit</t>
  </si>
  <si>
    <t>North</t>
  </si>
  <si>
    <t>Printer</t>
  </si>
  <si>
    <t>Monitor</t>
  </si>
  <si>
    <t>West</t>
  </si>
  <si>
    <t>Mouse</t>
  </si>
  <si>
    <t>Tablet</t>
  </si>
  <si>
    <t>Laptop</t>
  </si>
  <si>
    <t>East</t>
  </si>
  <si>
    <t>Headphones</t>
  </si>
  <si>
    <t>South</t>
  </si>
  <si>
    <t>Keyboard</t>
  </si>
  <si>
    <t>Sum of Sales</t>
  </si>
  <si>
    <t>Row Labels</t>
  </si>
  <si>
    <t>Grand Total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</si>
  <si>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</si>
  <si>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</si>
  <si>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</si>
  <si>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</si>
  <si>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</si>
  <si>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</si>
  <si>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</si>
  <si>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</si>
  <si>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</si>
  <si>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</si>
  <si>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</si>
  <si>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SALES PERFORMANCE DASHBOARD</t>
  </si>
  <si>
    <t>Profit margin</t>
  </si>
  <si>
    <t>Profit Margin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</si>
</sst>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48"/>
      <color theme="1"/>
      <name val="Aptos Narrow (Body)"/>
    </font>
    <font>
      <b/>
      <sz val="11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19" fillId="0" borderId="0" xfId="0" applyFont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6" fillId="34" borderId="10" xfId="0" applyFont="1" applyFill="1" applyBorder="1" applyAlignment="1">
      <alignment horizontal="center" vertical="center"/>
    </xf>
    <xf numFmtId="0" fontId="18" fillId="33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" formatCode="0"/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Perfromance Dashboard.xlsx]Profit By Region!PivotTable3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 by Region (AUD)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8.9362773500331477E-2"/>
              <c:y val="-0.33637554585152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6755520031312154E-2"/>
              <c:y val="-0.302374080242765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1170346687541435E-2"/>
              <c:y val="-0.265722676576975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7925866718853587E-3"/>
              <c:y val="-0.265722676576975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8.9362773500331477E-2"/>
              <c:y val="-0.33637554585152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6755520031312154E-2"/>
              <c:y val="-0.302374080242765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1170346687541435E-2"/>
              <c:y val="-0.265722676576975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7925866718853587E-3"/>
              <c:y val="-0.265722676576975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>
              <a:lumMod val="60000"/>
              <a:lumOff val="40000"/>
            </a:scheme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>
              <a:lumMod val="60000"/>
              <a:lumOff val="40000"/>
            </a:schemeClr>
          </a:solidFill>
          <a:ln w="25400">
            <a:noFill/>
          </a:ln>
          <a:effectLst/>
        </c:spPr>
        <c:dLbl>
          <c:idx val="0"/>
          <c:layout>
            <c:manualLayout>
              <c:x val="8.9362773500331477E-2"/>
              <c:y val="-0.33637554585152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>
              <a:lumMod val="60000"/>
              <a:lumOff val="40000"/>
            </a:schemeClr>
          </a:solidFill>
          <a:ln w="25400">
            <a:noFill/>
          </a:ln>
          <a:effectLst/>
        </c:spPr>
        <c:dLbl>
          <c:idx val="0"/>
          <c:layout>
            <c:manualLayout>
              <c:x val="1.6755520031312154E-2"/>
              <c:y val="-0.302374080242765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4">
              <a:lumMod val="60000"/>
              <a:lumOff val="40000"/>
            </a:schemeClr>
          </a:solidFill>
          <a:ln w="25400">
            <a:noFill/>
          </a:ln>
          <a:effectLst/>
        </c:spPr>
        <c:dLbl>
          <c:idx val="0"/>
          <c:layout>
            <c:manualLayout>
              <c:x val="1.1170346687541435E-2"/>
              <c:y val="-0.265722676576975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>
              <a:lumMod val="60000"/>
              <a:lumOff val="40000"/>
            </a:schemeClr>
          </a:solidFill>
          <a:ln w="25400">
            <a:noFill/>
          </a:ln>
          <a:effectLst/>
        </c:spPr>
        <c:dLbl>
          <c:idx val="0"/>
          <c:layout>
            <c:manualLayout>
              <c:x val="-2.7925866718853587E-3"/>
              <c:y val="-0.265722676576975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'Profit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 w="25400"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8-3803-A741-A59E-3F074E0CF754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9-3803-A741-A59E-3F074E0CF754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A-3803-A741-A59E-3F074E0CF754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B-3803-A741-A59E-3F074E0CF754}"/>
              </c:ext>
            </c:extLst>
          </c:dPt>
          <c:dLbls>
            <c:dLbl>
              <c:idx val="0"/>
              <c:layout>
                <c:manualLayout>
                  <c:x val="8.9362773500331477E-2"/>
                  <c:y val="-0.336375545851528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803-A741-A59E-3F074E0CF754}"/>
                </c:ext>
              </c:extLst>
            </c:dLbl>
            <c:dLbl>
              <c:idx val="1"/>
              <c:layout>
                <c:manualLayout>
                  <c:x val="1.6755520031312154E-2"/>
                  <c:y val="-0.3023740802427650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803-A741-A59E-3F074E0CF754}"/>
                </c:ext>
              </c:extLst>
            </c:dLbl>
            <c:dLbl>
              <c:idx val="2"/>
              <c:layout>
                <c:manualLayout>
                  <c:x val="1.1170346687541435E-2"/>
                  <c:y val="-0.2657226765769753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803-A741-A59E-3F074E0CF754}"/>
                </c:ext>
              </c:extLst>
            </c:dLbl>
            <c:dLbl>
              <c:idx val="3"/>
              <c:layout>
                <c:manualLayout>
                  <c:x val="-2.7925866718853587E-3"/>
                  <c:y val="-0.2657226765769753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803-A741-A59E-3F074E0CF7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By Region'!$B$4:$B$8</c:f>
              <c:numCache>
                <c:formatCode>0</c:formatCode>
                <c:ptCount val="4"/>
                <c:pt idx="0">
                  <c:v>18157.25</c:v>
                </c:pt>
                <c:pt idx="1">
                  <c:v>12807.5</c:v>
                </c:pt>
                <c:pt idx="2">
                  <c:v>10722.25</c:v>
                </c:pt>
                <c:pt idx="3">
                  <c:v>9858.25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803-A741-A59E-3F074E0CF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648304"/>
        <c:axId val="776722944"/>
      </c:areaChart>
      <c:catAx>
        <c:axId val="93664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722944"/>
        <c:crosses val="autoZero"/>
        <c:auto val="1"/>
        <c:lblAlgn val="ctr"/>
        <c:lblOffset val="100"/>
        <c:noMultiLvlLbl val="0"/>
      </c:catAx>
      <c:valAx>
        <c:axId val="776722944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36648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Perfromance Dashboard.xlsx]Top products 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Products </a:t>
            </a:r>
            <a:r>
              <a:rPr lang="en-US" b="1" baseline="0">
                <a:solidFill>
                  <a:schemeClr val="tx1"/>
                </a:solidFill>
              </a:rPr>
              <a:t>by Sale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9664912929977448E-2"/>
          <c:y val="0.1870146363478927"/>
          <c:w val="0.95033508707002257"/>
          <c:h val="0.732482126582455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'Top products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products '!$A$4:$A$9</c:f>
              <c:strCache>
                <c:ptCount val="5"/>
                <c:pt idx="0">
                  <c:v>Laptop</c:v>
                </c:pt>
                <c:pt idx="1">
                  <c:v>Tablet</c:v>
                </c:pt>
                <c:pt idx="2">
                  <c:v>Monitor</c:v>
                </c:pt>
                <c:pt idx="3">
                  <c:v>Printer</c:v>
                </c:pt>
                <c:pt idx="4">
                  <c:v>Headphones</c:v>
                </c:pt>
              </c:strCache>
            </c:strRef>
          </c:cat>
          <c:val>
            <c:numRef>
              <c:f>'Top products '!$B$4:$B$9</c:f>
              <c:numCache>
                <c:formatCode>General</c:formatCode>
                <c:ptCount val="5"/>
                <c:pt idx="0">
                  <c:v>140400</c:v>
                </c:pt>
                <c:pt idx="1">
                  <c:v>33600</c:v>
                </c:pt>
                <c:pt idx="2">
                  <c:v>13250</c:v>
                </c:pt>
                <c:pt idx="3">
                  <c:v>7500</c:v>
                </c:pt>
                <c:pt idx="4">
                  <c:v>2960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E5-E343-B0A8-E1FE454A9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5319663"/>
        <c:axId val="1755320143"/>
      </c:barChart>
      <c:catAx>
        <c:axId val="175531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320143"/>
        <c:crosses val="autoZero"/>
        <c:auto val="1"/>
        <c:lblAlgn val="ctr"/>
        <c:lblOffset val="100"/>
        <c:noMultiLvlLbl val="0"/>
      </c:catAx>
      <c:valAx>
        <c:axId val="17553201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5531966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Perfromance Dashboard.xlsx]Profit Trend by Month!PivotTable2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Profit</a:t>
            </a:r>
            <a:r>
              <a:rPr lang="en-US" b="1" baseline="0">
                <a:solidFill>
                  <a:schemeClr val="tx1"/>
                </a:solidFill>
              </a:rPr>
              <a:t> Trend by Month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'Profit Trend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'Profit Trend by Month'!$A$4:$A$14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'Profit Trend by Month'!$B$4:$B$14</c:f>
              <c:numCache>
                <c:formatCode>General</c:formatCode>
                <c:ptCount val="10"/>
                <c:pt idx="0">
                  <c:v>5229.25</c:v>
                </c:pt>
                <c:pt idx="1">
                  <c:v>6732.5</c:v>
                </c:pt>
                <c:pt idx="2">
                  <c:v>4656</c:v>
                </c:pt>
                <c:pt idx="3">
                  <c:v>3666</c:v>
                </c:pt>
                <c:pt idx="4">
                  <c:v>4783.25</c:v>
                </c:pt>
                <c:pt idx="5">
                  <c:v>4938.25</c:v>
                </c:pt>
                <c:pt idx="6">
                  <c:v>6191</c:v>
                </c:pt>
                <c:pt idx="7">
                  <c:v>6809.25</c:v>
                </c:pt>
                <c:pt idx="8">
                  <c:v>3978.75</c:v>
                </c:pt>
                <c:pt idx="9">
                  <c:v>4561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D6-2F49-A27B-2B72EFDF8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1223440"/>
        <c:axId val="597719456"/>
      </c:lineChart>
      <c:catAx>
        <c:axId val="94122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19456"/>
        <c:crosses val="autoZero"/>
        <c:auto val="1"/>
        <c:lblAlgn val="ctr"/>
        <c:lblOffset val="100"/>
        <c:noMultiLvlLbl val="0"/>
      </c:catAx>
      <c:valAx>
        <c:axId val="597719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22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Perfromance Dashboard.xlsx]Sales Trend by Month!PivotTable1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</a:rPr>
              <a:t>Sales Trend by Month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Trend by Month'!$A$4:$A$14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'Sales Trend by Month'!$B$4:$B$14</c:f>
              <c:numCache>
                <c:formatCode>General</c:formatCode>
                <c:ptCount val="10"/>
                <c:pt idx="0">
                  <c:v>19745</c:v>
                </c:pt>
                <c:pt idx="1">
                  <c:v>26660</c:v>
                </c:pt>
                <c:pt idx="2">
                  <c:v>18100</c:v>
                </c:pt>
                <c:pt idx="3">
                  <c:v>14720</c:v>
                </c:pt>
                <c:pt idx="4">
                  <c:v>18785</c:v>
                </c:pt>
                <c:pt idx="5">
                  <c:v>19455</c:v>
                </c:pt>
                <c:pt idx="6">
                  <c:v>24590</c:v>
                </c:pt>
                <c:pt idx="7">
                  <c:v>27255</c:v>
                </c:pt>
                <c:pt idx="8">
                  <c:v>15335</c:v>
                </c:pt>
                <c:pt idx="9">
                  <c:v>17880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56-7A4A-B730-3186F8A20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5353263"/>
        <c:axId val="1755315343"/>
      </c:lineChart>
      <c:catAx>
        <c:axId val="175535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315343"/>
        <c:crosses val="autoZero"/>
        <c:auto val="1"/>
        <c:lblAlgn val="ctr"/>
        <c:lblOffset val="100"/>
        <c:noMultiLvlLbl val="0"/>
      </c:catAx>
      <c:valAx>
        <c:axId val="175531534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353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Perfromance Dashboard.xlsx]Sales Trend by Month!PivotTable1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</a:rPr>
              <a:t>Sales Trend by Month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Trend by Month'!$A$4:$A$14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'Sales Trend by Month'!$B$4:$B$14</c:f>
              <c:numCache>
                <c:formatCode>General</c:formatCode>
                <c:ptCount val="10"/>
                <c:pt idx="0">
                  <c:v>19745</c:v>
                </c:pt>
                <c:pt idx="1">
                  <c:v>26660</c:v>
                </c:pt>
                <c:pt idx="2">
                  <c:v>18100</c:v>
                </c:pt>
                <c:pt idx="3">
                  <c:v>14720</c:v>
                </c:pt>
                <c:pt idx="4">
                  <c:v>18785</c:v>
                </c:pt>
                <c:pt idx="5">
                  <c:v>19455</c:v>
                </c:pt>
                <c:pt idx="6">
                  <c:v>24590</c:v>
                </c:pt>
                <c:pt idx="7">
                  <c:v>27255</c:v>
                </c:pt>
                <c:pt idx="8">
                  <c:v>15335</c:v>
                </c:pt>
                <c:pt idx="9">
                  <c:v>17880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6D-45DE-8681-2565BE669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5353263"/>
        <c:axId val="1755315343"/>
      </c:lineChart>
      <c:catAx>
        <c:axId val="175535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315343"/>
        <c:crosses val="autoZero"/>
        <c:auto val="1"/>
        <c:lblAlgn val="ctr"/>
        <c:lblOffset val="100"/>
        <c:noMultiLvlLbl val="0"/>
      </c:catAx>
      <c:valAx>
        <c:axId val="175531534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353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Perfromance Dashboard.xlsx]Profit Trend by Month!PivotTable2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chemeClr val="tx1"/>
                </a:solidFill>
              </a:rPr>
              <a:t>Profit Trend by Month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'Profit Trend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'Profit Trend by Month'!$A$4:$A$14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'Profit Trend by Month'!$B$4:$B$14</c:f>
              <c:numCache>
                <c:formatCode>General</c:formatCode>
                <c:ptCount val="10"/>
                <c:pt idx="0">
                  <c:v>5229.25</c:v>
                </c:pt>
                <c:pt idx="1">
                  <c:v>6732.5</c:v>
                </c:pt>
                <c:pt idx="2">
                  <c:v>4656</c:v>
                </c:pt>
                <c:pt idx="3">
                  <c:v>3666</c:v>
                </c:pt>
                <c:pt idx="4">
                  <c:v>4783.25</c:v>
                </c:pt>
                <c:pt idx="5">
                  <c:v>4938.25</c:v>
                </c:pt>
                <c:pt idx="6">
                  <c:v>6191</c:v>
                </c:pt>
                <c:pt idx="7">
                  <c:v>6809.25</c:v>
                </c:pt>
                <c:pt idx="8">
                  <c:v>3978.75</c:v>
                </c:pt>
                <c:pt idx="9">
                  <c:v>4561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74-FF44-964B-FE57E51FD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1223440"/>
        <c:axId val="597719456"/>
      </c:lineChart>
      <c:catAx>
        <c:axId val="94122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19456"/>
        <c:crosses val="autoZero"/>
        <c:auto val="1"/>
        <c:lblAlgn val="ctr"/>
        <c:lblOffset val="100"/>
        <c:noMultiLvlLbl val="0"/>
      </c:catAx>
      <c:valAx>
        <c:axId val="597719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22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Perfromance Dashboard.xlsx]Profit By Region!PivotTable3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Profit</a:t>
            </a:r>
            <a:r>
              <a:rPr lang="en-US" b="1" baseline="0">
                <a:solidFill>
                  <a:schemeClr val="tx1"/>
                </a:solidFill>
              </a:rPr>
              <a:t> by Region (AUD)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60000"/>
              <a:lumOff val="40000"/>
            </a:schemeClr>
          </a:solidFill>
          <a:ln w="25400">
            <a:noFill/>
          </a:ln>
          <a:effectLst/>
        </c:spPr>
        <c:dLbl>
          <c:idx val="0"/>
          <c:layout>
            <c:manualLayout>
              <c:x val="8.9362773500331477E-2"/>
              <c:y val="-0.336375545851528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 w="25400">
            <a:noFill/>
          </a:ln>
          <a:effectLst/>
        </c:spPr>
        <c:dLbl>
          <c:idx val="0"/>
          <c:layout>
            <c:manualLayout>
              <c:x val="1.6755520031312154E-2"/>
              <c:y val="-0.302374080242765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lumMod val="60000"/>
              <a:lumOff val="40000"/>
            </a:schemeClr>
          </a:solidFill>
          <a:ln w="25400">
            <a:noFill/>
          </a:ln>
          <a:effectLst/>
        </c:spPr>
        <c:dLbl>
          <c:idx val="0"/>
          <c:layout>
            <c:manualLayout>
              <c:x val="1.1170346687541435E-2"/>
              <c:y val="-0.265722676576975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lumMod val="60000"/>
              <a:lumOff val="40000"/>
            </a:schemeClr>
          </a:solidFill>
          <a:ln w="25400">
            <a:noFill/>
          </a:ln>
          <a:effectLst/>
        </c:spPr>
        <c:dLbl>
          <c:idx val="0"/>
          <c:layout>
            <c:manualLayout>
              <c:x val="-2.7925866718853587E-3"/>
              <c:y val="-0.2657226765769753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'Profit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 w="25400"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21EE-F547-A925-89BA70B0C945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21EE-F547-A925-89BA70B0C945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21EE-F547-A925-89BA70B0C945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21EE-F547-A925-89BA70B0C945}"/>
              </c:ext>
            </c:extLst>
          </c:dPt>
          <c:dLbls>
            <c:dLbl>
              <c:idx val="0"/>
              <c:layout>
                <c:manualLayout>
                  <c:x val="8.9362773500331477E-2"/>
                  <c:y val="-0.336375545851528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1EE-F547-A925-89BA70B0C945}"/>
                </c:ext>
              </c:extLst>
            </c:dLbl>
            <c:dLbl>
              <c:idx val="1"/>
              <c:layout>
                <c:manualLayout>
                  <c:x val="1.6755520031312154E-2"/>
                  <c:y val="-0.3023740802427650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1EE-F547-A925-89BA70B0C945}"/>
                </c:ext>
              </c:extLst>
            </c:dLbl>
            <c:dLbl>
              <c:idx val="2"/>
              <c:layout>
                <c:manualLayout>
                  <c:x val="1.1170346687541435E-2"/>
                  <c:y val="-0.2657226765769753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EE-F547-A925-89BA70B0C945}"/>
                </c:ext>
              </c:extLst>
            </c:dLbl>
            <c:dLbl>
              <c:idx val="3"/>
              <c:layout>
                <c:manualLayout>
                  <c:x val="-2.7925866718853587E-3"/>
                  <c:y val="-0.2657226765769753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1EE-F547-A925-89BA70B0C9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By Region'!$B$4:$B$8</c:f>
              <c:numCache>
                <c:formatCode>0</c:formatCode>
                <c:ptCount val="4"/>
                <c:pt idx="0">
                  <c:v>18157.25</c:v>
                </c:pt>
                <c:pt idx="1">
                  <c:v>12807.5</c:v>
                </c:pt>
                <c:pt idx="2">
                  <c:v>10722.25</c:v>
                </c:pt>
                <c:pt idx="3">
                  <c:v>9858.25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A3D-FC41-A9A3-3A63C8948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6648304"/>
        <c:axId val="776722944"/>
      </c:areaChart>
      <c:catAx>
        <c:axId val="93664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722944"/>
        <c:crosses val="autoZero"/>
        <c:auto val="1"/>
        <c:lblAlgn val="ctr"/>
        <c:lblOffset val="100"/>
        <c:noMultiLvlLbl val="0"/>
      </c:catAx>
      <c:valAx>
        <c:axId val="776722944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936648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Perfromance Dashboard.xlsx]Top products 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chemeClr val="tx1"/>
                </a:solidFill>
              </a:rPr>
              <a:t>Products by Sale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products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products '!$A$4:$A$9</c:f>
              <c:strCache>
                <c:ptCount val="5"/>
                <c:pt idx="0">
                  <c:v>Laptop</c:v>
                </c:pt>
                <c:pt idx="1">
                  <c:v>Tablet</c:v>
                </c:pt>
                <c:pt idx="2">
                  <c:v>Monitor</c:v>
                </c:pt>
                <c:pt idx="3">
                  <c:v>Printer</c:v>
                </c:pt>
                <c:pt idx="4">
                  <c:v>Headphones</c:v>
                </c:pt>
              </c:strCache>
            </c:strRef>
          </c:cat>
          <c:val>
            <c:numRef>
              <c:f>'Top products '!$B$4:$B$9</c:f>
              <c:numCache>
                <c:formatCode>General</c:formatCode>
                <c:ptCount val="5"/>
                <c:pt idx="0">
                  <c:v>140400</c:v>
                </c:pt>
                <c:pt idx="1">
                  <c:v>33600</c:v>
                </c:pt>
                <c:pt idx="2">
                  <c:v>13250</c:v>
                </c:pt>
                <c:pt idx="3">
                  <c:v>7500</c:v>
                </c:pt>
                <c:pt idx="4">
                  <c:v>2960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76-4234-8472-BBB0B7FE2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5319663"/>
        <c:axId val="1755320143"/>
      </c:barChart>
      <c:catAx>
        <c:axId val="175531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320143"/>
        <c:crosses val="autoZero"/>
        <c:auto val="1"/>
        <c:lblAlgn val="ctr"/>
        <c:lblOffset val="100"/>
        <c:noMultiLvlLbl val="0"/>
      </c:catAx>
      <c:valAx>
        <c:axId val="17553201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5531966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9923</xdr:colOff>
      <xdr:row>23</xdr:row>
      <xdr:rowOff>168672</xdr:rowOff>
    </xdr:from>
    <xdr:to>
      <xdr:col>9</xdr:col>
      <xdr:colOff>317500</xdr:colOff>
      <xdr:row>38</xdr:row>
      <xdr:rowOff>39687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FFC014-47E8-CE4A-A248-058E3C50AE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545703</xdr:colOff>
      <xdr:row>23</xdr:row>
      <xdr:rowOff>119063</xdr:rowOff>
    </xdr:from>
    <xdr:to>
      <xdr:col>17</xdr:col>
      <xdr:colOff>9921</xdr:colOff>
      <xdr:row>38</xdr:row>
      <xdr:rowOff>39687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A77D921-2AF3-EB48-9ED6-947E1177EE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9921</xdr:colOff>
      <xdr:row>6</xdr:row>
      <xdr:rowOff>128985</xdr:rowOff>
    </xdr:from>
    <xdr:to>
      <xdr:col>9</xdr:col>
      <xdr:colOff>337343</xdr:colOff>
      <xdr:row>22</xdr:row>
      <xdr:rowOff>148828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52553F-065D-9F4A-A632-D815B5980E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555625</xdr:colOff>
      <xdr:row>6</xdr:row>
      <xdr:rowOff>138906</xdr:rowOff>
    </xdr:from>
    <xdr:to>
      <xdr:col>17</xdr:col>
      <xdr:colOff>0</xdr:colOff>
      <xdr:row>22</xdr:row>
      <xdr:rowOff>158750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998BAF3-0C3F-CE47-8555-0F57E8F152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218154</xdr:colOff>
      <xdr:row>1</xdr:row>
      <xdr:rowOff>162167</xdr:rowOff>
    </xdr:from>
    <xdr:to>
      <xdr:col>11</xdr:col>
      <xdr:colOff>605061</xdr:colOff>
      <xdr:row>16</xdr:row>
      <xdr:rowOff>140045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C79CAB-3BC9-09EB-9084-8B15111CF7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965200</xdr:colOff>
      <xdr:row>2</xdr:row>
      <xdr:rowOff>38100</xdr:rowOff>
    </xdr:from>
    <xdr:to>
      <xdr:col>6</xdr:col>
      <xdr:colOff>914400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D3A773-94C2-C16F-2308-2757CD3585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616143</xdr:colOff>
      <xdr:row>5</xdr:row>
      <xdr:rowOff>85821</xdr:rowOff>
    </xdr:from>
    <xdr:to>
      <xdr:col>10</xdr:col>
      <xdr:colOff>476443</xdr:colOff>
      <xdr:row>20</xdr:row>
      <xdr:rowOff>107757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ACAED8-720D-8203-23D4-3219155FAB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1</xdr:row>
      <xdr:rowOff>139700</xdr:rowOff>
    </xdr:from>
    <xdr:to>
      <xdr:col>12</xdr:col>
      <xdr:colOff>152400</xdr:colOff>
      <xdr:row>16</xdr:row>
      <xdr:rowOff>120650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81C634-310A-B192-504C-C486F1DA4E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PAUL VUTIKONDA" refreshedDate="45960.575349189814" createdVersion="8" refreshedVersion="8" minRefreshableVersion="3" recordCount="100" xr:uid="{5BB6100D-F5BE-41E9-AE77-668FA6ADB1D4}">
  <cacheSource type="worksheet">
    <worksheetSource name="Table1"/>
  </cacheSource>
  <cacheFields count="8">
    <cacheField name="Date" numFmtId="14">
      <sharedItems containsSemiMixedTypes="0" containsNonDate="0" containsDate="1" containsString="0" minDate="2025-01-02T00:00:00" maxDate="2025-10-29T00:00:00" count="86">
        <d v="2025-01-02T00:00:00"/>
        <d v="2025-01-09T00:00:00"/>
        <d v="2025-01-14T00:00:00"/>
        <d v="2025-01-15T00:00:00"/>
        <d v="2025-01-21T00:00:00"/>
        <d v="2025-01-22T00:00:00"/>
        <d v="2025-01-28T00:00:00"/>
        <d v="2025-02-02T00:00:00"/>
        <d v="2025-02-04T00:00:00"/>
        <d v="2025-02-10T00:00:00"/>
        <d v="2025-02-13T00:00:00"/>
        <d v="2025-02-17T00:00:00"/>
        <d v="2025-02-18T00:00:00"/>
        <d v="2025-02-19T00:00:00"/>
        <d v="2025-02-20T00:00:00"/>
        <d v="2025-02-22T00:00:00"/>
        <d v="2025-02-23T00:00:00"/>
        <d v="2025-02-24T00:00:00"/>
        <d v="2025-02-28T00:00:00"/>
        <d v="2025-03-03T00:00:00"/>
        <d v="2025-03-04T00:00:00"/>
        <d v="2025-03-06T00:00:00"/>
        <d v="2025-03-13T00:00:00"/>
        <d v="2025-03-22T00:00:00"/>
        <d v="2025-03-29T00:00:00"/>
        <d v="2025-03-30T00:00:00"/>
        <d v="2025-04-02T00:00:00"/>
        <d v="2025-04-09T00:00:00"/>
        <d v="2025-04-10T00:00:00"/>
        <d v="2025-04-13T00:00:00"/>
        <d v="2025-04-16T00:00:00"/>
        <d v="2025-04-17T00:00:00"/>
        <d v="2025-05-02T00:00:00"/>
        <d v="2025-05-09T00:00:00"/>
        <d v="2025-05-11T00:00:00"/>
        <d v="2025-05-15T00:00:00"/>
        <d v="2025-05-16T00:00:00"/>
        <d v="2025-05-19T00:00:00"/>
        <d v="2025-05-30T00:00:00"/>
        <d v="2025-06-01T00:00:00"/>
        <d v="2025-06-06T00:00:00"/>
        <d v="2025-06-10T00:00:00"/>
        <d v="2025-06-11T00:00:00"/>
        <d v="2025-06-12T00:00:00"/>
        <d v="2025-06-16T00:00:00"/>
        <d v="2025-06-19T00:00:00"/>
        <d v="2025-06-21T00:00:00"/>
        <d v="2025-06-24T00:00:00"/>
        <d v="2025-07-07T00:00:00"/>
        <d v="2025-07-08T00:00:00"/>
        <d v="2025-07-09T00:00:00"/>
        <d v="2025-07-10T00:00:00"/>
        <d v="2025-07-11T00:00:00"/>
        <d v="2025-07-20T00:00:00"/>
        <d v="2025-07-21T00:00:00"/>
        <d v="2025-07-25T00:00:00"/>
        <d v="2025-07-27T00:00:00"/>
        <d v="2025-08-01T00:00:00"/>
        <d v="2025-08-02T00:00:00"/>
        <d v="2025-08-03T00:00:00"/>
        <d v="2025-08-04T00:00:00"/>
        <d v="2025-08-05T00:00:00"/>
        <d v="2025-08-06T00:00:00"/>
        <d v="2025-08-19T00:00:00"/>
        <d v="2025-08-24T00:00:00"/>
        <d v="2025-08-25T00:00:00"/>
        <d v="2025-08-30T00:00:00"/>
        <d v="2025-09-01T00:00:00"/>
        <d v="2025-09-09T00:00:00"/>
        <d v="2025-09-10T00:00:00"/>
        <d v="2025-09-15T00:00:00"/>
        <d v="2025-09-17T00:00:00"/>
        <d v="2025-09-18T00:00:00"/>
        <d v="2025-09-21T00:00:00"/>
        <d v="2025-09-22T00:00:00"/>
        <d v="2025-09-25T00:00:00"/>
        <d v="2025-09-27T00:00:00"/>
        <d v="2025-09-28T00:00:00"/>
        <d v="2025-10-01T00:00:00"/>
        <d v="2025-10-04T00:00:00"/>
        <d v="2025-10-07T00:00:00"/>
        <d v="2025-10-16T00:00:00"/>
        <d v="2025-10-20T00:00:00"/>
        <d v="2025-10-21T00:00:00"/>
        <d v="2025-10-23T00:00:00"/>
        <d v="2025-10-28T00:00:00"/>
      </sharedItems>
      <fieldGroup par="7"/>
    </cacheField>
    <cacheField name="Region" numFmtId="0">
      <sharedItems count="4">
        <s v="North"/>
        <s v="West"/>
        <s v="East"/>
        <s v="South"/>
      </sharedItems>
    </cacheField>
    <cacheField name="Product" numFmtId="0">
      <sharedItems count="7">
        <s v="Printer"/>
        <s v="Monitor"/>
        <s v="Mouse"/>
        <s v="Tablet"/>
        <s v="Laptop"/>
        <s v="Headphones"/>
        <s v="Keyboard"/>
      </sharedItems>
    </cacheField>
    <cacheField name="Quantity" numFmtId="0">
      <sharedItems containsSemiMixedTypes="0" containsString="0" containsNumber="1" containsInteger="1" minValue="1" maxValue="9" count="9">
        <n v="3"/>
        <n v="2"/>
        <n v="6"/>
        <n v="7"/>
        <n v="8"/>
        <n v="9"/>
        <n v="4"/>
        <n v="1"/>
        <n v="5"/>
      </sharedItems>
    </cacheField>
    <cacheField name="Sales" numFmtId="0">
      <sharedItems containsSemiMixedTypes="0" containsString="0" containsNumber="1" containsInteger="1" minValue="25" maxValue="10800" count="42">
        <n v="450"/>
        <n v="500"/>
        <n v="75"/>
        <n v="3600"/>
        <n v="8400"/>
        <n v="4800"/>
        <n v="720"/>
        <n v="1200"/>
        <n v="160"/>
        <n v="900"/>
        <n v="9600"/>
        <n v="10800"/>
        <n v="225"/>
        <n v="600"/>
        <n v="1800"/>
        <n v="300"/>
        <n v="80"/>
        <n v="25"/>
        <n v="150"/>
        <n v="100"/>
        <n v="7200"/>
        <n v="320"/>
        <n v="480"/>
        <n v="200"/>
        <n v="1000"/>
        <n v="40"/>
        <n v="240"/>
        <n v="120"/>
        <n v="175"/>
        <n v="2250"/>
        <n v="1250"/>
        <n v="1050"/>
        <n v="2000"/>
        <n v="2400"/>
        <n v="50"/>
        <n v="6000"/>
        <n v="1500"/>
        <n v="125"/>
        <n v="250"/>
        <n v="3000"/>
        <n v="280"/>
        <n v="4200"/>
      </sharedItems>
    </cacheField>
    <cacheField name="Profit" numFmtId="0">
      <sharedItems containsSemiMixedTypes="0" containsString="0" containsNumber="1" minValue="8.75" maxValue="2700" count="47">
        <n v="99"/>
        <n v="100"/>
        <n v="26.25"/>
        <n v="1008"/>
        <n v="2100"/>
        <n v="1344"/>
        <n v="288"/>
        <n v="264"/>
        <n v="48"/>
        <n v="300"/>
        <n v="198"/>
        <n v="2400"/>
        <n v="2700"/>
        <n v="78.75"/>
        <n v="168"/>
        <n v="504"/>
        <n v="66"/>
        <n v="32"/>
        <n v="8.75"/>
        <n v="33"/>
        <n v="35"/>
        <n v="1800"/>
        <n v="128"/>
        <n v="192"/>
        <n v="60"/>
        <n v="24"/>
        <n v="900"/>
        <n v="200"/>
        <n v="12"/>
        <n v="70"/>
        <n v="72"/>
        <n v="36"/>
        <n v="61.249999999999901"/>
        <n v="450"/>
        <n v="250"/>
        <n v="231"/>
        <n v="400"/>
        <n v="672"/>
        <n v="52.5"/>
        <n v="17.5"/>
        <n v="1500"/>
        <n v="1200"/>
        <n v="43.75"/>
        <n v="50"/>
        <n v="840"/>
        <n v="84"/>
        <n v="1176"/>
      </sharedItems>
    </cacheField>
    <cacheField name="Days (Date)" numFmtId="0" databaseField="0">
      <fieldGroup base="0">
        <rangePr groupBy="days" startDate="2025-01-02T00:00:00" endDate="2025-10-29T00:00:00"/>
        <groupItems count="368">
          <s v="&lt;1/2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0/29/2025"/>
        </groupItems>
      </fieldGroup>
    </cacheField>
    <cacheField name="Months (Date)" numFmtId="0" databaseField="0">
      <fieldGroup base="0">
        <rangePr groupBy="months" startDate="2025-01-02T00:00:00" endDate="2025-10-29T00:00:00"/>
        <groupItems count="14">
          <s v="&lt;1/2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9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x v="0"/>
    <x v="0"/>
    <x v="0"/>
  </r>
  <r>
    <x v="1"/>
    <x v="0"/>
    <x v="1"/>
    <x v="1"/>
    <x v="1"/>
    <x v="1"/>
  </r>
  <r>
    <x v="2"/>
    <x v="1"/>
    <x v="2"/>
    <x v="0"/>
    <x v="2"/>
    <x v="2"/>
  </r>
  <r>
    <x v="3"/>
    <x v="0"/>
    <x v="3"/>
    <x v="2"/>
    <x v="3"/>
    <x v="3"/>
  </r>
  <r>
    <x v="4"/>
    <x v="0"/>
    <x v="4"/>
    <x v="3"/>
    <x v="4"/>
    <x v="4"/>
  </r>
  <r>
    <x v="4"/>
    <x v="2"/>
    <x v="3"/>
    <x v="4"/>
    <x v="5"/>
    <x v="5"/>
  </r>
  <r>
    <x v="5"/>
    <x v="1"/>
    <x v="5"/>
    <x v="5"/>
    <x v="6"/>
    <x v="6"/>
  </r>
  <r>
    <x v="6"/>
    <x v="3"/>
    <x v="0"/>
    <x v="4"/>
    <x v="7"/>
    <x v="7"/>
  </r>
  <r>
    <x v="7"/>
    <x v="2"/>
    <x v="6"/>
    <x v="6"/>
    <x v="8"/>
    <x v="8"/>
  </r>
  <r>
    <x v="8"/>
    <x v="3"/>
    <x v="4"/>
    <x v="7"/>
    <x v="7"/>
    <x v="9"/>
  </r>
  <r>
    <x v="8"/>
    <x v="3"/>
    <x v="0"/>
    <x v="2"/>
    <x v="9"/>
    <x v="10"/>
  </r>
  <r>
    <x v="9"/>
    <x v="2"/>
    <x v="4"/>
    <x v="4"/>
    <x v="10"/>
    <x v="11"/>
  </r>
  <r>
    <x v="9"/>
    <x v="2"/>
    <x v="4"/>
    <x v="5"/>
    <x v="11"/>
    <x v="12"/>
  </r>
  <r>
    <x v="10"/>
    <x v="1"/>
    <x v="2"/>
    <x v="5"/>
    <x v="12"/>
    <x v="13"/>
  </r>
  <r>
    <x v="11"/>
    <x v="3"/>
    <x v="3"/>
    <x v="7"/>
    <x v="13"/>
    <x v="14"/>
  </r>
  <r>
    <x v="12"/>
    <x v="2"/>
    <x v="6"/>
    <x v="6"/>
    <x v="8"/>
    <x v="8"/>
  </r>
  <r>
    <x v="13"/>
    <x v="3"/>
    <x v="6"/>
    <x v="6"/>
    <x v="8"/>
    <x v="8"/>
  </r>
  <r>
    <x v="14"/>
    <x v="1"/>
    <x v="3"/>
    <x v="0"/>
    <x v="14"/>
    <x v="15"/>
  </r>
  <r>
    <x v="15"/>
    <x v="2"/>
    <x v="0"/>
    <x v="1"/>
    <x v="15"/>
    <x v="16"/>
  </r>
  <r>
    <x v="15"/>
    <x v="2"/>
    <x v="1"/>
    <x v="1"/>
    <x v="1"/>
    <x v="1"/>
  </r>
  <r>
    <x v="16"/>
    <x v="3"/>
    <x v="5"/>
    <x v="7"/>
    <x v="16"/>
    <x v="17"/>
  </r>
  <r>
    <x v="17"/>
    <x v="3"/>
    <x v="2"/>
    <x v="7"/>
    <x v="17"/>
    <x v="18"/>
  </r>
  <r>
    <x v="18"/>
    <x v="1"/>
    <x v="0"/>
    <x v="7"/>
    <x v="18"/>
    <x v="19"/>
  </r>
  <r>
    <x v="19"/>
    <x v="1"/>
    <x v="4"/>
    <x v="4"/>
    <x v="10"/>
    <x v="11"/>
  </r>
  <r>
    <x v="20"/>
    <x v="3"/>
    <x v="2"/>
    <x v="7"/>
    <x v="17"/>
    <x v="18"/>
  </r>
  <r>
    <x v="21"/>
    <x v="0"/>
    <x v="0"/>
    <x v="1"/>
    <x v="15"/>
    <x v="16"/>
  </r>
  <r>
    <x v="22"/>
    <x v="2"/>
    <x v="2"/>
    <x v="6"/>
    <x v="19"/>
    <x v="20"/>
  </r>
  <r>
    <x v="23"/>
    <x v="2"/>
    <x v="4"/>
    <x v="2"/>
    <x v="20"/>
    <x v="21"/>
  </r>
  <r>
    <x v="23"/>
    <x v="3"/>
    <x v="2"/>
    <x v="0"/>
    <x v="2"/>
    <x v="2"/>
  </r>
  <r>
    <x v="24"/>
    <x v="2"/>
    <x v="5"/>
    <x v="6"/>
    <x v="21"/>
    <x v="22"/>
  </r>
  <r>
    <x v="25"/>
    <x v="0"/>
    <x v="5"/>
    <x v="2"/>
    <x v="22"/>
    <x v="23"/>
  </r>
  <r>
    <x v="26"/>
    <x v="2"/>
    <x v="6"/>
    <x v="8"/>
    <x v="23"/>
    <x v="24"/>
  </r>
  <r>
    <x v="27"/>
    <x v="0"/>
    <x v="6"/>
    <x v="1"/>
    <x v="16"/>
    <x v="25"/>
  </r>
  <r>
    <x v="28"/>
    <x v="2"/>
    <x v="4"/>
    <x v="0"/>
    <x v="3"/>
    <x v="26"/>
  </r>
  <r>
    <x v="29"/>
    <x v="0"/>
    <x v="1"/>
    <x v="6"/>
    <x v="24"/>
    <x v="27"/>
  </r>
  <r>
    <x v="29"/>
    <x v="0"/>
    <x v="4"/>
    <x v="4"/>
    <x v="10"/>
    <x v="11"/>
  </r>
  <r>
    <x v="30"/>
    <x v="0"/>
    <x v="6"/>
    <x v="7"/>
    <x v="25"/>
    <x v="28"/>
  </r>
  <r>
    <x v="31"/>
    <x v="0"/>
    <x v="2"/>
    <x v="4"/>
    <x v="23"/>
    <x v="29"/>
  </r>
  <r>
    <x v="32"/>
    <x v="0"/>
    <x v="6"/>
    <x v="2"/>
    <x v="26"/>
    <x v="30"/>
  </r>
  <r>
    <x v="33"/>
    <x v="2"/>
    <x v="6"/>
    <x v="7"/>
    <x v="25"/>
    <x v="28"/>
  </r>
  <r>
    <x v="34"/>
    <x v="2"/>
    <x v="6"/>
    <x v="0"/>
    <x v="27"/>
    <x v="31"/>
  </r>
  <r>
    <x v="34"/>
    <x v="2"/>
    <x v="6"/>
    <x v="0"/>
    <x v="27"/>
    <x v="31"/>
  </r>
  <r>
    <x v="35"/>
    <x v="2"/>
    <x v="6"/>
    <x v="2"/>
    <x v="26"/>
    <x v="30"/>
  </r>
  <r>
    <x v="35"/>
    <x v="1"/>
    <x v="2"/>
    <x v="3"/>
    <x v="28"/>
    <x v="32"/>
  </r>
  <r>
    <x v="36"/>
    <x v="2"/>
    <x v="3"/>
    <x v="4"/>
    <x v="5"/>
    <x v="5"/>
  </r>
  <r>
    <x v="37"/>
    <x v="1"/>
    <x v="1"/>
    <x v="5"/>
    <x v="29"/>
    <x v="33"/>
  </r>
  <r>
    <x v="38"/>
    <x v="2"/>
    <x v="4"/>
    <x v="5"/>
    <x v="11"/>
    <x v="12"/>
  </r>
  <r>
    <x v="39"/>
    <x v="3"/>
    <x v="4"/>
    <x v="5"/>
    <x v="11"/>
    <x v="12"/>
  </r>
  <r>
    <x v="40"/>
    <x v="3"/>
    <x v="1"/>
    <x v="1"/>
    <x v="1"/>
    <x v="1"/>
  </r>
  <r>
    <x v="41"/>
    <x v="3"/>
    <x v="3"/>
    <x v="0"/>
    <x v="14"/>
    <x v="15"/>
  </r>
  <r>
    <x v="42"/>
    <x v="1"/>
    <x v="6"/>
    <x v="8"/>
    <x v="23"/>
    <x v="24"/>
  </r>
  <r>
    <x v="43"/>
    <x v="0"/>
    <x v="2"/>
    <x v="3"/>
    <x v="28"/>
    <x v="32"/>
  </r>
  <r>
    <x v="44"/>
    <x v="2"/>
    <x v="3"/>
    <x v="2"/>
    <x v="3"/>
    <x v="3"/>
  </r>
  <r>
    <x v="45"/>
    <x v="2"/>
    <x v="1"/>
    <x v="8"/>
    <x v="30"/>
    <x v="34"/>
  </r>
  <r>
    <x v="46"/>
    <x v="1"/>
    <x v="6"/>
    <x v="1"/>
    <x v="16"/>
    <x v="25"/>
  </r>
  <r>
    <x v="47"/>
    <x v="1"/>
    <x v="0"/>
    <x v="3"/>
    <x v="31"/>
    <x v="35"/>
  </r>
  <r>
    <x v="48"/>
    <x v="0"/>
    <x v="5"/>
    <x v="6"/>
    <x v="21"/>
    <x v="22"/>
  </r>
  <r>
    <x v="48"/>
    <x v="0"/>
    <x v="4"/>
    <x v="4"/>
    <x v="10"/>
    <x v="11"/>
  </r>
  <r>
    <x v="49"/>
    <x v="3"/>
    <x v="0"/>
    <x v="7"/>
    <x v="18"/>
    <x v="19"/>
  </r>
  <r>
    <x v="50"/>
    <x v="0"/>
    <x v="1"/>
    <x v="4"/>
    <x v="32"/>
    <x v="36"/>
  </r>
  <r>
    <x v="50"/>
    <x v="1"/>
    <x v="3"/>
    <x v="6"/>
    <x v="33"/>
    <x v="37"/>
  </r>
  <r>
    <x v="51"/>
    <x v="3"/>
    <x v="2"/>
    <x v="2"/>
    <x v="18"/>
    <x v="38"/>
  </r>
  <r>
    <x v="52"/>
    <x v="2"/>
    <x v="2"/>
    <x v="1"/>
    <x v="34"/>
    <x v="39"/>
  </r>
  <r>
    <x v="53"/>
    <x v="1"/>
    <x v="5"/>
    <x v="5"/>
    <x v="6"/>
    <x v="6"/>
  </r>
  <r>
    <x v="54"/>
    <x v="1"/>
    <x v="1"/>
    <x v="4"/>
    <x v="32"/>
    <x v="36"/>
  </r>
  <r>
    <x v="55"/>
    <x v="1"/>
    <x v="4"/>
    <x v="8"/>
    <x v="35"/>
    <x v="40"/>
  </r>
  <r>
    <x v="56"/>
    <x v="1"/>
    <x v="4"/>
    <x v="7"/>
    <x v="7"/>
    <x v="9"/>
  </r>
  <r>
    <x v="57"/>
    <x v="2"/>
    <x v="4"/>
    <x v="3"/>
    <x v="4"/>
    <x v="4"/>
  </r>
  <r>
    <x v="58"/>
    <x v="0"/>
    <x v="2"/>
    <x v="3"/>
    <x v="28"/>
    <x v="32"/>
  </r>
  <r>
    <x v="59"/>
    <x v="3"/>
    <x v="6"/>
    <x v="0"/>
    <x v="27"/>
    <x v="31"/>
  </r>
  <r>
    <x v="59"/>
    <x v="3"/>
    <x v="4"/>
    <x v="4"/>
    <x v="10"/>
    <x v="11"/>
  </r>
  <r>
    <x v="60"/>
    <x v="1"/>
    <x v="4"/>
    <x v="0"/>
    <x v="3"/>
    <x v="26"/>
  </r>
  <r>
    <x v="61"/>
    <x v="0"/>
    <x v="6"/>
    <x v="2"/>
    <x v="26"/>
    <x v="30"/>
  </r>
  <r>
    <x v="62"/>
    <x v="1"/>
    <x v="6"/>
    <x v="0"/>
    <x v="27"/>
    <x v="31"/>
  </r>
  <r>
    <x v="63"/>
    <x v="0"/>
    <x v="1"/>
    <x v="1"/>
    <x v="1"/>
    <x v="1"/>
  </r>
  <r>
    <x v="64"/>
    <x v="2"/>
    <x v="4"/>
    <x v="7"/>
    <x v="7"/>
    <x v="9"/>
  </r>
  <r>
    <x v="65"/>
    <x v="0"/>
    <x v="3"/>
    <x v="0"/>
    <x v="14"/>
    <x v="15"/>
  </r>
  <r>
    <x v="66"/>
    <x v="0"/>
    <x v="1"/>
    <x v="2"/>
    <x v="36"/>
    <x v="9"/>
  </r>
  <r>
    <x v="67"/>
    <x v="0"/>
    <x v="3"/>
    <x v="7"/>
    <x v="13"/>
    <x v="14"/>
  </r>
  <r>
    <x v="68"/>
    <x v="0"/>
    <x v="2"/>
    <x v="0"/>
    <x v="2"/>
    <x v="2"/>
  </r>
  <r>
    <x v="68"/>
    <x v="2"/>
    <x v="2"/>
    <x v="7"/>
    <x v="17"/>
    <x v="18"/>
  </r>
  <r>
    <x v="69"/>
    <x v="0"/>
    <x v="4"/>
    <x v="6"/>
    <x v="5"/>
    <x v="41"/>
  </r>
  <r>
    <x v="70"/>
    <x v="0"/>
    <x v="1"/>
    <x v="1"/>
    <x v="1"/>
    <x v="1"/>
  </r>
  <r>
    <x v="71"/>
    <x v="0"/>
    <x v="2"/>
    <x v="8"/>
    <x v="37"/>
    <x v="42"/>
  </r>
  <r>
    <x v="72"/>
    <x v="0"/>
    <x v="4"/>
    <x v="0"/>
    <x v="3"/>
    <x v="26"/>
  </r>
  <r>
    <x v="73"/>
    <x v="2"/>
    <x v="3"/>
    <x v="7"/>
    <x v="13"/>
    <x v="14"/>
  </r>
  <r>
    <x v="74"/>
    <x v="1"/>
    <x v="0"/>
    <x v="4"/>
    <x v="7"/>
    <x v="7"/>
  </r>
  <r>
    <x v="75"/>
    <x v="2"/>
    <x v="5"/>
    <x v="6"/>
    <x v="21"/>
    <x v="22"/>
  </r>
  <r>
    <x v="76"/>
    <x v="1"/>
    <x v="6"/>
    <x v="7"/>
    <x v="25"/>
    <x v="28"/>
  </r>
  <r>
    <x v="77"/>
    <x v="2"/>
    <x v="1"/>
    <x v="7"/>
    <x v="38"/>
    <x v="43"/>
  </r>
  <r>
    <x v="77"/>
    <x v="1"/>
    <x v="2"/>
    <x v="4"/>
    <x v="23"/>
    <x v="29"/>
  </r>
  <r>
    <x v="77"/>
    <x v="3"/>
    <x v="3"/>
    <x v="8"/>
    <x v="39"/>
    <x v="44"/>
  </r>
  <r>
    <x v="78"/>
    <x v="2"/>
    <x v="0"/>
    <x v="2"/>
    <x v="9"/>
    <x v="10"/>
  </r>
  <r>
    <x v="79"/>
    <x v="3"/>
    <x v="0"/>
    <x v="2"/>
    <x v="9"/>
    <x v="10"/>
  </r>
  <r>
    <x v="80"/>
    <x v="3"/>
    <x v="4"/>
    <x v="5"/>
    <x v="11"/>
    <x v="12"/>
  </r>
  <r>
    <x v="81"/>
    <x v="3"/>
    <x v="2"/>
    <x v="3"/>
    <x v="28"/>
    <x v="32"/>
  </r>
  <r>
    <x v="82"/>
    <x v="1"/>
    <x v="6"/>
    <x v="3"/>
    <x v="40"/>
    <x v="45"/>
  </r>
  <r>
    <x v="83"/>
    <x v="2"/>
    <x v="1"/>
    <x v="1"/>
    <x v="1"/>
    <x v="1"/>
  </r>
  <r>
    <x v="84"/>
    <x v="3"/>
    <x v="2"/>
    <x v="8"/>
    <x v="37"/>
    <x v="42"/>
  </r>
  <r>
    <x v="85"/>
    <x v="1"/>
    <x v="3"/>
    <x v="3"/>
    <x v="41"/>
    <x v="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AF039-2590-2E41-AEA8-CC8E4EA977DF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5:I6" firstHeaderRow="0" firstDataRow="1" firstDataCol="0"/>
  <pivotFields count="8">
    <pivotField numFmtId="14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showAll="0"/>
    <pivotField showAll="0"/>
    <pivotField showAll="0"/>
    <pivotField dataField="1" showAll="0"/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Sales" fld="4" baseField="0" baseItem="0"/>
    <dataField name="Sum of Profit" fld="5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">
      <pivotArea type="all" dataOnly="0" outline="0" fieldPosition="0"/>
    </format>
    <format dxfId="1">
      <pivotArea outline="0" collapsedLevelsAreSubtotals="1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B5CF33-EAE6-F64E-B173-B8A6E48F7661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8">
    <pivotField numFmtId="14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showAll="0"/>
    <pivotField showAll="0"/>
    <pivotField showAll="0"/>
    <pivotField dataField="1" showAll="0"/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Sales" fld="4" baseField="0" baseItem="0"/>
    <dataField name="Sum of Profi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4AC38A-DA01-4A88-AC02-ADC44BD856E3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4" firstHeaderRow="1" firstDataRow="1" firstDataCol="1"/>
  <pivotFields count="8">
    <pivotField axis="axisRow" numFmtId="14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7"/>
    <field x="6"/>
    <field x="0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Sales" fld="4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BEED21-B34B-4747-B92C-C0C7FF46880F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4" firstHeaderRow="1" firstDataRow="1" firstDataCol="1"/>
  <pivotFields count="8">
    <pivotField numFmtId="14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showAll="0"/>
    <pivotField showAll="0"/>
    <pivotField showAll="0"/>
    <pivotField showAll="0"/>
    <pivotField dataField="1" showAll="0">
      <items count="48">
        <item x="18"/>
        <item x="28"/>
        <item x="39"/>
        <item x="25"/>
        <item x="2"/>
        <item x="17"/>
        <item x="19"/>
        <item x="20"/>
        <item x="31"/>
        <item x="42"/>
        <item x="8"/>
        <item x="43"/>
        <item x="38"/>
        <item x="24"/>
        <item x="32"/>
        <item x="16"/>
        <item x="29"/>
        <item x="30"/>
        <item x="13"/>
        <item x="45"/>
        <item x="0"/>
        <item x="1"/>
        <item x="22"/>
        <item x="14"/>
        <item x="23"/>
        <item x="10"/>
        <item x="27"/>
        <item x="35"/>
        <item x="34"/>
        <item x="7"/>
        <item x="6"/>
        <item x="9"/>
        <item x="36"/>
        <item x="33"/>
        <item x="15"/>
        <item x="37"/>
        <item x="44"/>
        <item x="26"/>
        <item x="3"/>
        <item x="46"/>
        <item x="41"/>
        <item x="5"/>
        <item x="40"/>
        <item x="21"/>
        <item x="4"/>
        <item x="11"/>
        <item x="12"/>
        <item t="default"/>
      </items>
    </pivotField>
    <pivotField showAll="0" defaultSubtota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Profit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6E77BA-4869-4F85-A2F8-906FF901FD7A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8" firstHeaderRow="1" firstDataRow="1" firstDataCol="1"/>
  <pivotFields count="8">
    <pivotField numFmtId="14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5" baseField="0" baseItem="0"/>
  </dataFields>
  <formats count="1">
    <format dxfId="6">
      <pivotArea collapsedLevelsAreSubtotals="1" fieldPosition="0">
        <references count="1">
          <reference field="1" count="0"/>
        </references>
      </pivotArea>
    </format>
  </formats>
  <chartFormats count="15"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761A7-76AC-4AC1-803E-C1F50FFA410E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9" firstHeaderRow="1" firstDataRow="1" firstDataCol="1"/>
  <pivotFields count="8">
    <pivotField numFmtId="14" showAll="0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showAll="0"/>
    <pivotField axis="axisRow" showAll="0" measureFilter="1" sortType="descending">
      <items count="8">
        <item x="5"/>
        <item x="6"/>
        <item x="4"/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 v="2"/>
    </i>
    <i>
      <x v="6"/>
    </i>
    <i>
      <x v="3"/>
    </i>
    <i>
      <x v="5"/>
    </i>
    <i>
      <x/>
    </i>
    <i t="grand">
      <x/>
    </i>
  </rowItems>
  <colItems count="1">
    <i/>
  </colItems>
  <dataFields count="1">
    <dataField name="Sum of Sales" fld="4" baseField="0" baseItem="0"/>
  </dataField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AD11DD-5C27-455E-8AB6-ED26FA624B73}" name="Table1" displayName="Table1" ref="A1:F101" totalsRowShown="0">
  <autoFilter ref="A1:F101" xr:uid="{C1AD11DD-5C27-455E-8AB6-ED26FA624B73}"/>
  <tableColumns count="6">
    <tableColumn id="1" xr3:uid="{F544E261-ED25-4B4C-9FD2-C3E33FCB51F8}" name="Date" dataDxfId="7"/>
    <tableColumn id="2" xr3:uid="{B9D815C4-6702-465A-BF6B-7586C388B3BE}" name="Region"/>
    <tableColumn id="3" xr3:uid="{1EA2A0C9-AFEC-4D57-8EC0-4BDE0F8E8AC2}" name="Product"/>
    <tableColumn id="4" xr3:uid="{A5336CBC-E34C-4B20-8DA9-24E78C79FBDF}" name="Quantity"/>
    <tableColumn id="5" xr3:uid="{2558C875-C567-4A8D-ADCB-062755BD3747}" name="Sales"/>
    <tableColumn id="6" xr3:uid="{B5505708-65D9-433A-81E3-84FD42915DD6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5EC7-C256-486C-9FDE-95E65121CEA0}">
  <dimension ref="A1:Q11"/>
  <sheetViews>
    <sheetView showGridLines="0" tabSelected="1" topLeftCell="C1" zoomScale="128" zoomScaleNormal="128" workbookViewId="0">
      <selection activeCell="M41" sqref="M41"/>
    </sheetView>
  </sheetViews>
  <sheetFormatPr baseColWidth="10" defaultColWidth="8.83203125" defaultRowHeight="15" x14ac:dyDescent="0.2"/>
  <cols>
    <col min="2" max="2" width="11.5" customWidth="1"/>
    <col min="8" max="8" width="10.6640625" customWidth="1"/>
    <col min="9" max="9" width="11.5" customWidth="1"/>
    <col min="10" max="10" width="13.33203125" customWidth="1"/>
  </cols>
  <sheetData>
    <row r="1" spans="1:17" x14ac:dyDescent="0.2">
      <c r="A1" s="11" t="s">
        <v>31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16" customHeight="1" x14ac:dyDescent="0.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x14ac:dyDescent="0.2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x14ac:dyDescent="0.2">
      <c r="H5" s="8" t="s">
        <v>17</v>
      </c>
      <c r="I5" s="7" t="s">
        <v>20</v>
      </c>
      <c r="J5" s="10" t="s">
        <v>33</v>
      </c>
    </row>
    <row r="6" spans="1:17" x14ac:dyDescent="0.2">
      <c r="H6" s="7">
        <v>202525</v>
      </c>
      <c r="I6" s="7">
        <v>51545.25</v>
      </c>
      <c r="J6" s="9">
        <f>GETPIVOTDATA("Sum of Profit",$H$5)/GETPIVOTDATA("Sum of Sales",$H$5)*100</f>
        <v>25.451302308356993</v>
      </c>
    </row>
    <row r="11" spans="1:17" x14ac:dyDescent="0.2">
      <c r="I11" s="5"/>
    </row>
  </sheetData>
  <mergeCells count="1">
    <mergeCell ref="A1:Q4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7C284-0C86-4EA2-8672-A25C96D39C8C}">
  <dimension ref="A1:F101"/>
  <sheetViews>
    <sheetView topLeftCell="A49" workbookViewId="0">
      <selection activeCell="I42" sqref="I42"/>
    </sheetView>
  </sheetViews>
  <sheetFormatPr baseColWidth="10" defaultColWidth="8.83203125" defaultRowHeight="15" x14ac:dyDescent="0.2"/>
  <cols>
    <col min="1" max="1" width="20.1640625" customWidth="1"/>
    <col min="2" max="2" width="12.6640625" customWidth="1"/>
    <col min="3" max="3" width="16.33203125" customWidth="1"/>
    <col min="4" max="4" width="10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45659</v>
      </c>
      <c r="B2" t="s">
        <v>6</v>
      </c>
      <c r="C2" t="s">
        <v>7</v>
      </c>
      <c r="D2">
        <v>3</v>
      </c>
      <c r="E2">
        <v>450</v>
      </c>
      <c r="F2">
        <v>99</v>
      </c>
    </row>
    <row r="3" spans="1:6" x14ac:dyDescent="0.2">
      <c r="A3" s="1">
        <v>45666</v>
      </c>
      <c r="B3" t="s">
        <v>6</v>
      </c>
      <c r="C3" t="s">
        <v>8</v>
      </c>
      <c r="D3">
        <v>2</v>
      </c>
      <c r="E3">
        <v>500</v>
      </c>
      <c r="F3">
        <v>100</v>
      </c>
    </row>
    <row r="4" spans="1:6" x14ac:dyDescent="0.2">
      <c r="A4" s="1">
        <v>45671</v>
      </c>
      <c r="B4" t="s">
        <v>9</v>
      </c>
      <c r="C4" t="s">
        <v>10</v>
      </c>
      <c r="D4">
        <v>3</v>
      </c>
      <c r="E4">
        <v>75</v>
      </c>
      <c r="F4">
        <v>26.25</v>
      </c>
    </row>
    <row r="5" spans="1:6" x14ac:dyDescent="0.2">
      <c r="A5" s="1">
        <v>45672</v>
      </c>
      <c r="B5" t="s">
        <v>6</v>
      </c>
      <c r="C5" t="s">
        <v>11</v>
      </c>
      <c r="D5">
        <v>6</v>
      </c>
      <c r="E5">
        <v>3600</v>
      </c>
      <c r="F5">
        <v>1008</v>
      </c>
    </row>
    <row r="6" spans="1:6" x14ac:dyDescent="0.2">
      <c r="A6" s="1">
        <v>45678</v>
      </c>
      <c r="B6" t="s">
        <v>6</v>
      </c>
      <c r="C6" t="s">
        <v>12</v>
      </c>
      <c r="D6">
        <v>7</v>
      </c>
      <c r="E6">
        <v>8400</v>
      </c>
      <c r="F6">
        <v>2100</v>
      </c>
    </row>
    <row r="7" spans="1:6" x14ac:dyDescent="0.2">
      <c r="A7" s="1">
        <v>45678</v>
      </c>
      <c r="B7" t="s">
        <v>13</v>
      </c>
      <c r="C7" t="s">
        <v>11</v>
      </c>
      <c r="D7">
        <v>8</v>
      </c>
      <c r="E7">
        <v>4800</v>
      </c>
      <c r="F7">
        <v>1344</v>
      </c>
    </row>
    <row r="8" spans="1:6" x14ac:dyDescent="0.2">
      <c r="A8" s="1">
        <v>45679</v>
      </c>
      <c r="B8" t="s">
        <v>9</v>
      </c>
      <c r="C8" t="s">
        <v>14</v>
      </c>
      <c r="D8">
        <v>9</v>
      </c>
      <c r="E8">
        <v>720</v>
      </c>
      <c r="F8">
        <v>288</v>
      </c>
    </row>
    <row r="9" spans="1:6" x14ac:dyDescent="0.2">
      <c r="A9" s="1">
        <v>45685</v>
      </c>
      <c r="B9" t="s">
        <v>15</v>
      </c>
      <c r="C9" t="s">
        <v>7</v>
      </c>
      <c r="D9">
        <v>8</v>
      </c>
      <c r="E9">
        <v>1200</v>
      </c>
      <c r="F9">
        <v>264</v>
      </c>
    </row>
    <row r="10" spans="1:6" x14ac:dyDescent="0.2">
      <c r="A10" s="1">
        <v>45690</v>
      </c>
      <c r="B10" t="s">
        <v>13</v>
      </c>
      <c r="C10" t="s">
        <v>16</v>
      </c>
      <c r="D10">
        <v>4</v>
      </c>
      <c r="E10">
        <v>160</v>
      </c>
      <c r="F10">
        <v>48</v>
      </c>
    </row>
    <row r="11" spans="1:6" x14ac:dyDescent="0.2">
      <c r="A11" s="1">
        <v>45692</v>
      </c>
      <c r="B11" t="s">
        <v>15</v>
      </c>
      <c r="C11" t="s">
        <v>12</v>
      </c>
      <c r="D11">
        <v>1</v>
      </c>
      <c r="E11">
        <v>1200</v>
      </c>
      <c r="F11">
        <v>300</v>
      </c>
    </row>
    <row r="12" spans="1:6" x14ac:dyDescent="0.2">
      <c r="A12" s="1">
        <v>45692</v>
      </c>
      <c r="B12" t="s">
        <v>15</v>
      </c>
      <c r="C12" t="s">
        <v>7</v>
      </c>
      <c r="D12">
        <v>6</v>
      </c>
      <c r="E12">
        <v>900</v>
      </c>
      <c r="F12">
        <v>198</v>
      </c>
    </row>
    <row r="13" spans="1:6" x14ac:dyDescent="0.2">
      <c r="A13" s="1">
        <v>45698</v>
      </c>
      <c r="B13" t="s">
        <v>13</v>
      </c>
      <c r="C13" t="s">
        <v>12</v>
      </c>
      <c r="D13">
        <v>8</v>
      </c>
      <c r="E13">
        <v>9600</v>
      </c>
      <c r="F13">
        <v>2400</v>
      </c>
    </row>
    <row r="14" spans="1:6" x14ac:dyDescent="0.2">
      <c r="A14" s="1">
        <v>45698</v>
      </c>
      <c r="B14" t="s">
        <v>13</v>
      </c>
      <c r="C14" t="s">
        <v>12</v>
      </c>
      <c r="D14">
        <v>9</v>
      </c>
      <c r="E14">
        <v>10800</v>
      </c>
      <c r="F14">
        <v>2700</v>
      </c>
    </row>
    <row r="15" spans="1:6" x14ac:dyDescent="0.2">
      <c r="A15" s="1">
        <v>45701</v>
      </c>
      <c r="B15" t="s">
        <v>9</v>
      </c>
      <c r="C15" t="s">
        <v>10</v>
      </c>
      <c r="D15">
        <v>9</v>
      </c>
      <c r="E15">
        <v>225</v>
      </c>
      <c r="F15">
        <v>78.75</v>
      </c>
    </row>
    <row r="16" spans="1:6" x14ac:dyDescent="0.2">
      <c r="A16" s="1">
        <v>45705</v>
      </c>
      <c r="B16" t="s">
        <v>15</v>
      </c>
      <c r="C16" t="s">
        <v>11</v>
      </c>
      <c r="D16">
        <v>1</v>
      </c>
      <c r="E16">
        <v>600</v>
      </c>
      <c r="F16">
        <v>168</v>
      </c>
    </row>
    <row r="17" spans="1:6" x14ac:dyDescent="0.2">
      <c r="A17" s="1">
        <v>45706</v>
      </c>
      <c r="B17" t="s">
        <v>13</v>
      </c>
      <c r="C17" t="s">
        <v>16</v>
      </c>
      <c r="D17">
        <v>4</v>
      </c>
      <c r="E17">
        <v>160</v>
      </c>
      <c r="F17">
        <v>48</v>
      </c>
    </row>
    <row r="18" spans="1:6" x14ac:dyDescent="0.2">
      <c r="A18" s="1">
        <v>45707</v>
      </c>
      <c r="B18" t="s">
        <v>15</v>
      </c>
      <c r="C18" t="s">
        <v>16</v>
      </c>
      <c r="D18">
        <v>4</v>
      </c>
      <c r="E18">
        <v>160</v>
      </c>
      <c r="F18">
        <v>48</v>
      </c>
    </row>
    <row r="19" spans="1:6" x14ac:dyDescent="0.2">
      <c r="A19" s="1">
        <v>45708</v>
      </c>
      <c r="B19" t="s">
        <v>9</v>
      </c>
      <c r="C19" t="s">
        <v>11</v>
      </c>
      <c r="D19">
        <v>3</v>
      </c>
      <c r="E19">
        <v>1800</v>
      </c>
      <c r="F19">
        <v>504</v>
      </c>
    </row>
    <row r="20" spans="1:6" x14ac:dyDescent="0.2">
      <c r="A20" s="1">
        <v>45710</v>
      </c>
      <c r="B20" t="s">
        <v>13</v>
      </c>
      <c r="C20" t="s">
        <v>7</v>
      </c>
      <c r="D20">
        <v>2</v>
      </c>
      <c r="E20">
        <v>300</v>
      </c>
      <c r="F20">
        <v>66</v>
      </c>
    </row>
    <row r="21" spans="1:6" x14ac:dyDescent="0.2">
      <c r="A21" s="1">
        <v>45710</v>
      </c>
      <c r="B21" t="s">
        <v>13</v>
      </c>
      <c r="C21" t="s">
        <v>8</v>
      </c>
      <c r="D21">
        <v>2</v>
      </c>
      <c r="E21">
        <v>500</v>
      </c>
      <c r="F21">
        <v>100</v>
      </c>
    </row>
    <row r="22" spans="1:6" x14ac:dyDescent="0.2">
      <c r="A22" s="1">
        <v>45711</v>
      </c>
      <c r="B22" t="s">
        <v>15</v>
      </c>
      <c r="C22" t="s">
        <v>14</v>
      </c>
      <c r="D22">
        <v>1</v>
      </c>
      <c r="E22">
        <v>80</v>
      </c>
      <c r="F22">
        <v>32</v>
      </c>
    </row>
    <row r="23" spans="1:6" x14ac:dyDescent="0.2">
      <c r="A23" s="1">
        <v>45712</v>
      </c>
      <c r="B23" t="s">
        <v>15</v>
      </c>
      <c r="C23" t="s">
        <v>10</v>
      </c>
      <c r="D23">
        <v>1</v>
      </c>
      <c r="E23">
        <v>25</v>
      </c>
      <c r="F23">
        <v>8.75</v>
      </c>
    </row>
    <row r="24" spans="1:6" x14ac:dyDescent="0.2">
      <c r="A24" s="1">
        <v>45716</v>
      </c>
      <c r="B24" t="s">
        <v>9</v>
      </c>
      <c r="C24" t="s">
        <v>7</v>
      </c>
      <c r="D24">
        <v>1</v>
      </c>
      <c r="E24">
        <v>150</v>
      </c>
      <c r="F24">
        <v>33</v>
      </c>
    </row>
    <row r="25" spans="1:6" x14ac:dyDescent="0.2">
      <c r="A25" s="1">
        <v>45719</v>
      </c>
      <c r="B25" t="s">
        <v>9</v>
      </c>
      <c r="C25" t="s">
        <v>12</v>
      </c>
      <c r="D25">
        <v>8</v>
      </c>
      <c r="E25">
        <v>9600</v>
      </c>
      <c r="F25">
        <v>2400</v>
      </c>
    </row>
    <row r="26" spans="1:6" x14ac:dyDescent="0.2">
      <c r="A26" s="1">
        <v>45720</v>
      </c>
      <c r="B26" t="s">
        <v>15</v>
      </c>
      <c r="C26" t="s">
        <v>10</v>
      </c>
      <c r="D26">
        <v>1</v>
      </c>
      <c r="E26">
        <v>25</v>
      </c>
      <c r="F26">
        <v>8.75</v>
      </c>
    </row>
    <row r="27" spans="1:6" x14ac:dyDescent="0.2">
      <c r="A27" s="1">
        <v>45722</v>
      </c>
      <c r="B27" t="s">
        <v>6</v>
      </c>
      <c r="C27" t="s">
        <v>7</v>
      </c>
      <c r="D27">
        <v>2</v>
      </c>
      <c r="E27">
        <v>300</v>
      </c>
      <c r="F27">
        <v>66</v>
      </c>
    </row>
    <row r="28" spans="1:6" x14ac:dyDescent="0.2">
      <c r="A28" s="1">
        <v>45729</v>
      </c>
      <c r="B28" t="s">
        <v>13</v>
      </c>
      <c r="C28" t="s">
        <v>10</v>
      </c>
      <c r="D28">
        <v>4</v>
      </c>
      <c r="E28">
        <v>100</v>
      </c>
      <c r="F28">
        <v>35</v>
      </c>
    </row>
    <row r="29" spans="1:6" x14ac:dyDescent="0.2">
      <c r="A29" s="1">
        <v>45738</v>
      </c>
      <c r="B29" t="s">
        <v>13</v>
      </c>
      <c r="C29" t="s">
        <v>12</v>
      </c>
      <c r="D29">
        <v>6</v>
      </c>
      <c r="E29">
        <v>7200</v>
      </c>
      <c r="F29">
        <v>1800</v>
      </c>
    </row>
    <row r="30" spans="1:6" x14ac:dyDescent="0.2">
      <c r="A30" s="1">
        <v>45738</v>
      </c>
      <c r="B30" t="s">
        <v>15</v>
      </c>
      <c r="C30" t="s">
        <v>10</v>
      </c>
      <c r="D30">
        <v>3</v>
      </c>
      <c r="E30">
        <v>75</v>
      </c>
      <c r="F30">
        <v>26.25</v>
      </c>
    </row>
    <row r="31" spans="1:6" x14ac:dyDescent="0.2">
      <c r="A31" s="1">
        <v>45745</v>
      </c>
      <c r="B31" t="s">
        <v>13</v>
      </c>
      <c r="C31" t="s">
        <v>14</v>
      </c>
      <c r="D31">
        <v>4</v>
      </c>
      <c r="E31">
        <v>320</v>
      </c>
      <c r="F31">
        <v>128</v>
      </c>
    </row>
    <row r="32" spans="1:6" x14ac:dyDescent="0.2">
      <c r="A32" s="1">
        <v>45746</v>
      </c>
      <c r="B32" t="s">
        <v>6</v>
      </c>
      <c r="C32" t="s">
        <v>14</v>
      </c>
      <c r="D32">
        <v>6</v>
      </c>
      <c r="E32">
        <v>480</v>
      </c>
      <c r="F32">
        <v>192</v>
      </c>
    </row>
    <row r="33" spans="1:6" x14ac:dyDescent="0.2">
      <c r="A33" s="1">
        <v>45749</v>
      </c>
      <c r="B33" t="s">
        <v>13</v>
      </c>
      <c r="C33" t="s">
        <v>16</v>
      </c>
      <c r="D33">
        <v>5</v>
      </c>
      <c r="E33">
        <v>200</v>
      </c>
      <c r="F33">
        <v>60</v>
      </c>
    </row>
    <row r="34" spans="1:6" x14ac:dyDescent="0.2">
      <c r="A34" s="1">
        <v>45756</v>
      </c>
      <c r="B34" t="s">
        <v>6</v>
      </c>
      <c r="C34" t="s">
        <v>16</v>
      </c>
      <c r="D34">
        <v>2</v>
      </c>
      <c r="E34">
        <v>80</v>
      </c>
      <c r="F34">
        <v>24</v>
      </c>
    </row>
    <row r="35" spans="1:6" x14ac:dyDescent="0.2">
      <c r="A35" s="1">
        <v>45757</v>
      </c>
      <c r="B35" t="s">
        <v>13</v>
      </c>
      <c r="C35" t="s">
        <v>12</v>
      </c>
      <c r="D35">
        <v>3</v>
      </c>
      <c r="E35">
        <v>3600</v>
      </c>
      <c r="F35">
        <v>900</v>
      </c>
    </row>
    <row r="36" spans="1:6" x14ac:dyDescent="0.2">
      <c r="A36" s="1">
        <v>45760</v>
      </c>
      <c r="B36" t="s">
        <v>6</v>
      </c>
      <c r="C36" t="s">
        <v>8</v>
      </c>
      <c r="D36">
        <v>4</v>
      </c>
      <c r="E36">
        <v>1000</v>
      </c>
      <c r="F36">
        <v>200</v>
      </c>
    </row>
    <row r="37" spans="1:6" x14ac:dyDescent="0.2">
      <c r="A37" s="1">
        <v>45760</v>
      </c>
      <c r="B37" t="s">
        <v>6</v>
      </c>
      <c r="C37" t="s">
        <v>12</v>
      </c>
      <c r="D37">
        <v>8</v>
      </c>
      <c r="E37">
        <v>9600</v>
      </c>
      <c r="F37">
        <v>2400</v>
      </c>
    </row>
    <row r="38" spans="1:6" x14ac:dyDescent="0.2">
      <c r="A38" s="1">
        <v>45763</v>
      </c>
      <c r="B38" t="s">
        <v>6</v>
      </c>
      <c r="C38" t="s">
        <v>16</v>
      </c>
      <c r="D38">
        <v>1</v>
      </c>
      <c r="E38">
        <v>40</v>
      </c>
      <c r="F38">
        <v>12</v>
      </c>
    </row>
    <row r="39" spans="1:6" x14ac:dyDescent="0.2">
      <c r="A39" s="1">
        <v>45764</v>
      </c>
      <c r="B39" t="s">
        <v>6</v>
      </c>
      <c r="C39" t="s">
        <v>10</v>
      </c>
      <c r="D39">
        <v>8</v>
      </c>
      <c r="E39">
        <v>200</v>
      </c>
      <c r="F39">
        <v>70</v>
      </c>
    </row>
    <row r="40" spans="1:6" x14ac:dyDescent="0.2">
      <c r="A40" s="1">
        <v>45779</v>
      </c>
      <c r="B40" t="s">
        <v>6</v>
      </c>
      <c r="C40" t="s">
        <v>16</v>
      </c>
      <c r="D40">
        <v>6</v>
      </c>
      <c r="E40">
        <v>240</v>
      </c>
      <c r="F40">
        <v>72</v>
      </c>
    </row>
    <row r="41" spans="1:6" x14ac:dyDescent="0.2">
      <c r="A41" s="1">
        <v>45786</v>
      </c>
      <c r="B41" t="s">
        <v>13</v>
      </c>
      <c r="C41" t="s">
        <v>16</v>
      </c>
      <c r="D41">
        <v>1</v>
      </c>
      <c r="E41">
        <v>40</v>
      </c>
      <c r="F41">
        <v>12</v>
      </c>
    </row>
    <row r="42" spans="1:6" x14ac:dyDescent="0.2">
      <c r="A42" s="1">
        <v>45788</v>
      </c>
      <c r="B42" t="s">
        <v>13</v>
      </c>
      <c r="C42" t="s">
        <v>16</v>
      </c>
      <c r="D42">
        <v>3</v>
      </c>
      <c r="E42">
        <v>120</v>
      </c>
      <c r="F42">
        <v>36</v>
      </c>
    </row>
    <row r="43" spans="1:6" x14ac:dyDescent="0.2">
      <c r="A43" s="1">
        <v>45788</v>
      </c>
      <c r="B43" t="s">
        <v>13</v>
      </c>
      <c r="C43" t="s">
        <v>16</v>
      </c>
      <c r="D43">
        <v>3</v>
      </c>
      <c r="E43">
        <v>120</v>
      </c>
      <c r="F43">
        <v>36</v>
      </c>
    </row>
    <row r="44" spans="1:6" x14ac:dyDescent="0.2">
      <c r="A44" s="1">
        <v>45792</v>
      </c>
      <c r="B44" t="s">
        <v>13</v>
      </c>
      <c r="C44" t="s">
        <v>16</v>
      </c>
      <c r="D44">
        <v>6</v>
      </c>
      <c r="E44">
        <v>240</v>
      </c>
      <c r="F44">
        <v>72</v>
      </c>
    </row>
    <row r="45" spans="1:6" x14ac:dyDescent="0.2">
      <c r="A45" s="1">
        <v>45792</v>
      </c>
      <c r="B45" t="s">
        <v>9</v>
      </c>
      <c r="C45" t="s">
        <v>10</v>
      </c>
      <c r="D45">
        <v>7</v>
      </c>
      <c r="E45">
        <v>175</v>
      </c>
      <c r="F45">
        <v>61.249999999999901</v>
      </c>
    </row>
    <row r="46" spans="1:6" x14ac:dyDescent="0.2">
      <c r="A46" s="1">
        <v>45793</v>
      </c>
      <c r="B46" t="s">
        <v>13</v>
      </c>
      <c r="C46" t="s">
        <v>11</v>
      </c>
      <c r="D46">
        <v>8</v>
      </c>
      <c r="E46">
        <v>4800</v>
      </c>
      <c r="F46">
        <v>1344</v>
      </c>
    </row>
    <row r="47" spans="1:6" x14ac:dyDescent="0.2">
      <c r="A47" s="1">
        <v>45796</v>
      </c>
      <c r="B47" t="s">
        <v>9</v>
      </c>
      <c r="C47" t="s">
        <v>8</v>
      </c>
      <c r="D47">
        <v>9</v>
      </c>
      <c r="E47">
        <v>2250</v>
      </c>
      <c r="F47">
        <v>450</v>
      </c>
    </row>
    <row r="48" spans="1:6" x14ac:dyDescent="0.2">
      <c r="A48" s="1">
        <v>45807</v>
      </c>
      <c r="B48" t="s">
        <v>13</v>
      </c>
      <c r="C48" t="s">
        <v>12</v>
      </c>
      <c r="D48">
        <v>9</v>
      </c>
      <c r="E48">
        <v>10800</v>
      </c>
      <c r="F48">
        <v>2700</v>
      </c>
    </row>
    <row r="49" spans="1:6" x14ac:dyDescent="0.2">
      <c r="A49" s="1">
        <v>45809</v>
      </c>
      <c r="B49" t="s">
        <v>15</v>
      </c>
      <c r="C49" t="s">
        <v>12</v>
      </c>
      <c r="D49">
        <v>9</v>
      </c>
      <c r="E49">
        <v>10800</v>
      </c>
      <c r="F49">
        <v>2700</v>
      </c>
    </row>
    <row r="50" spans="1:6" x14ac:dyDescent="0.2">
      <c r="A50" s="1">
        <v>45814</v>
      </c>
      <c r="B50" t="s">
        <v>15</v>
      </c>
      <c r="C50" t="s">
        <v>8</v>
      </c>
      <c r="D50">
        <v>2</v>
      </c>
      <c r="E50">
        <v>500</v>
      </c>
      <c r="F50">
        <v>100</v>
      </c>
    </row>
    <row r="51" spans="1:6" x14ac:dyDescent="0.2">
      <c r="A51" s="1">
        <v>45818</v>
      </c>
      <c r="B51" t="s">
        <v>15</v>
      </c>
      <c r="C51" t="s">
        <v>11</v>
      </c>
      <c r="D51">
        <v>3</v>
      </c>
      <c r="E51">
        <v>1800</v>
      </c>
      <c r="F51">
        <v>504</v>
      </c>
    </row>
    <row r="52" spans="1:6" x14ac:dyDescent="0.2">
      <c r="A52" s="1">
        <v>45819</v>
      </c>
      <c r="B52" t="s">
        <v>9</v>
      </c>
      <c r="C52" t="s">
        <v>16</v>
      </c>
      <c r="D52">
        <v>5</v>
      </c>
      <c r="E52">
        <v>200</v>
      </c>
      <c r="F52">
        <v>60</v>
      </c>
    </row>
    <row r="53" spans="1:6" x14ac:dyDescent="0.2">
      <c r="A53" s="1">
        <v>45820</v>
      </c>
      <c r="B53" t="s">
        <v>6</v>
      </c>
      <c r="C53" t="s">
        <v>10</v>
      </c>
      <c r="D53">
        <v>7</v>
      </c>
      <c r="E53">
        <v>175</v>
      </c>
      <c r="F53">
        <v>61.249999999999901</v>
      </c>
    </row>
    <row r="54" spans="1:6" x14ac:dyDescent="0.2">
      <c r="A54" s="1">
        <v>45824</v>
      </c>
      <c r="B54" t="s">
        <v>13</v>
      </c>
      <c r="C54" t="s">
        <v>11</v>
      </c>
      <c r="D54">
        <v>6</v>
      </c>
      <c r="E54">
        <v>3600</v>
      </c>
      <c r="F54">
        <v>1008</v>
      </c>
    </row>
    <row r="55" spans="1:6" x14ac:dyDescent="0.2">
      <c r="A55" s="1">
        <v>45827</v>
      </c>
      <c r="B55" t="s">
        <v>13</v>
      </c>
      <c r="C55" t="s">
        <v>8</v>
      </c>
      <c r="D55">
        <v>5</v>
      </c>
      <c r="E55">
        <v>1250</v>
      </c>
      <c r="F55">
        <v>250</v>
      </c>
    </row>
    <row r="56" spans="1:6" x14ac:dyDescent="0.2">
      <c r="A56" s="1">
        <v>45829</v>
      </c>
      <c r="B56" t="s">
        <v>9</v>
      </c>
      <c r="C56" t="s">
        <v>16</v>
      </c>
      <c r="D56">
        <v>2</v>
      </c>
      <c r="E56">
        <v>80</v>
      </c>
      <c r="F56">
        <v>24</v>
      </c>
    </row>
    <row r="57" spans="1:6" x14ac:dyDescent="0.2">
      <c r="A57" s="1">
        <v>45832</v>
      </c>
      <c r="B57" t="s">
        <v>9</v>
      </c>
      <c r="C57" t="s">
        <v>7</v>
      </c>
      <c r="D57">
        <v>7</v>
      </c>
      <c r="E57">
        <v>1050</v>
      </c>
      <c r="F57">
        <v>231</v>
      </c>
    </row>
    <row r="58" spans="1:6" x14ac:dyDescent="0.2">
      <c r="A58" s="1">
        <v>45845</v>
      </c>
      <c r="B58" t="s">
        <v>6</v>
      </c>
      <c r="C58" t="s">
        <v>14</v>
      </c>
      <c r="D58">
        <v>4</v>
      </c>
      <c r="E58">
        <v>320</v>
      </c>
      <c r="F58">
        <v>128</v>
      </c>
    </row>
    <row r="59" spans="1:6" x14ac:dyDescent="0.2">
      <c r="A59" s="1">
        <v>45845</v>
      </c>
      <c r="B59" t="s">
        <v>6</v>
      </c>
      <c r="C59" t="s">
        <v>12</v>
      </c>
      <c r="D59">
        <v>8</v>
      </c>
      <c r="E59">
        <v>9600</v>
      </c>
      <c r="F59">
        <v>2400</v>
      </c>
    </row>
    <row r="60" spans="1:6" x14ac:dyDescent="0.2">
      <c r="A60" s="1">
        <v>45846</v>
      </c>
      <c r="B60" t="s">
        <v>15</v>
      </c>
      <c r="C60" t="s">
        <v>7</v>
      </c>
      <c r="D60">
        <v>1</v>
      </c>
      <c r="E60">
        <v>150</v>
      </c>
      <c r="F60">
        <v>33</v>
      </c>
    </row>
    <row r="61" spans="1:6" x14ac:dyDescent="0.2">
      <c r="A61" s="1">
        <v>45847</v>
      </c>
      <c r="B61" t="s">
        <v>6</v>
      </c>
      <c r="C61" t="s">
        <v>8</v>
      </c>
      <c r="D61">
        <v>8</v>
      </c>
      <c r="E61">
        <v>2000</v>
      </c>
      <c r="F61">
        <v>400</v>
      </c>
    </row>
    <row r="62" spans="1:6" x14ac:dyDescent="0.2">
      <c r="A62" s="1">
        <v>45847</v>
      </c>
      <c r="B62" t="s">
        <v>9</v>
      </c>
      <c r="C62" t="s">
        <v>11</v>
      </c>
      <c r="D62">
        <v>4</v>
      </c>
      <c r="E62">
        <v>2400</v>
      </c>
      <c r="F62">
        <v>672</v>
      </c>
    </row>
    <row r="63" spans="1:6" x14ac:dyDescent="0.2">
      <c r="A63" s="1">
        <v>45848</v>
      </c>
      <c r="B63" t="s">
        <v>15</v>
      </c>
      <c r="C63" t="s">
        <v>10</v>
      </c>
      <c r="D63">
        <v>6</v>
      </c>
      <c r="E63">
        <v>150</v>
      </c>
      <c r="F63">
        <v>52.5</v>
      </c>
    </row>
    <row r="64" spans="1:6" x14ac:dyDescent="0.2">
      <c r="A64" s="1">
        <v>45849</v>
      </c>
      <c r="B64" t="s">
        <v>13</v>
      </c>
      <c r="C64" t="s">
        <v>10</v>
      </c>
      <c r="D64">
        <v>2</v>
      </c>
      <c r="E64">
        <v>50</v>
      </c>
      <c r="F64">
        <v>17.5</v>
      </c>
    </row>
    <row r="65" spans="1:6" x14ac:dyDescent="0.2">
      <c r="A65" s="1">
        <v>45858</v>
      </c>
      <c r="B65" t="s">
        <v>9</v>
      </c>
      <c r="C65" t="s">
        <v>14</v>
      </c>
      <c r="D65">
        <v>9</v>
      </c>
      <c r="E65">
        <v>720</v>
      </c>
      <c r="F65">
        <v>288</v>
      </c>
    </row>
    <row r="66" spans="1:6" x14ac:dyDescent="0.2">
      <c r="A66" s="1">
        <v>45859</v>
      </c>
      <c r="B66" t="s">
        <v>9</v>
      </c>
      <c r="C66" t="s">
        <v>8</v>
      </c>
      <c r="D66">
        <v>8</v>
      </c>
      <c r="E66">
        <v>2000</v>
      </c>
      <c r="F66">
        <v>400</v>
      </c>
    </row>
    <row r="67" spans="1:6" x14ac:dyDescent="0.2">
      <c r="A67" s="1">
        <v>45863</v>
      </c>
      <c r="B67" t="s">
        <v>9</v>
      </c>
      <c r="C67" t="s">
        <v>12</v>
      </c>
      <c r="D67">
        <v>5</v>
      </c>
      <c r="E67">
        <v>6000</v>
      </c>
      <c r="F67">
        <v>1500</v>
      </c>
    </row>
    <row r="68" spans="1:6" x14ac:dyDescent="0.2">
      <c r="A68" s="1">
        <v>45865</v>
      </c>
      <c r="B68" t="s">
        <v>9</v>
      </c>
      <c r="C68" t="s">
        <v>12</v>
      </c>
      <c r="D68">
        <v>1</v>
      </c>
      <c r="E68">
        <v>1200</v>
      </c>
      <c r="F68">
        <v>300</v>
      </c>
    </row>
    <row r="69" spans="1:6" x14ac:dyDescent="0.2">
      <c r="A69" s="1">
        <v>45870</v>
      </c>
      <c r="B69" t="s">
        <v>13</v>
      </c>
      <c r="C69" t="s">
        <v>12</v>
      </c>
      <c r="D69">
        <v>7</v>
      </c>
      <c r="E69">
        <v>8400</v>
      </c>
      <c r="F69">
        <v>2100</v>
      </c>
    </row>
    <row r="70" spans="1:6" x14ac:dyDescent="0.2">
      <c r="A70" s="1">
        <v>45871</v>
      </c>
      <c r="B70" t="s">
        <v>6</v>
      </c>
      <c r="C70" t="s">
        <v>10</v>
      </c>
      <c r="D70">
        <v>7</v>
      </c>
      <c r="E70">
        <v>175</v>
      </c>
      <c r="F70">
        <v>61.249999999999901</v>
      </c>
    </row>
    <row r="71" spans="1:6" x14ac:dyDescent="0.2">
      <c r="A71" s="1">
        <v>45872</v>
      </c>
      <c r="B71" t="s">
        <v>15</v>
      </c>
      <c r="C71" t="s">
        <v>16</v>
      </c>
      <c r="D71">
        <v>3</v>
      </c>
      <c r="E71">
        <v>120</v>
      </c>
      <c r="F71">
        <v>36</v>
      </c>
    </row>
    <row r="72" spans="1:6" x14ac:dyDescent="0.2">
      <c r="A72" s="1">
        <v>45872</v>
      </c>
      <c r="B72" t="s">
        <v>15</v>
      </c>
      <c r="C72" t="s">
        <v>12</v>
      </c>
      <c r="D72">
        <v>8</v>
      </c>
      <c r="E72">
        <v>9600</v>
      </c>
      <c r="F72">
        <v>2400</v>
      </c>
    </row>
    <row r="73" spans="1:6" x14ac:dyDescent="0.2">
      <c r="A73" s="1">
        <v>45873</v>
      </c>
      <c r="B73" t="s">
        <v>9</v>
      </c>
      <c r="C73" t="s">
        <v>12</v>
      </c>
      <c r="D73">
        <v>3</v>
      </c>
      <c r="E73">
        <v>3600</v>
      </c>
      <c r="F73">
        <v>900</v>
      </c>
    </row>
    <row r="74" spans="1:6" x14ac:dyDescent="0.2">
      <c r="A74" s="1">
        <v>45874</v>
      </c>
      <c r="B74" t="s">
        <v>6</v>
      </c>
      <c r="C74" t="s">
        <v>16</v>
      </c>
      <c r="D74">
        <v>6</v>
      </c>
      <c r="E74">
        <v>240</v>
      </c>
      <c r="F74">
        <v>72</v>
      </c>
    </row>
    <row r="75" spans="1:6" x14ac:dyDescent="0.2">
      <c r="A75" s="1">
        <v>45875</v>
      </c>
      <c r="B75" t="s">
        <v>9</v>
      </c>
      <c r="C75" t="s">
        <v>16</v>
      </c>
      <c r="D75">
        <v>3</v>
      </c>
      <c r="E75">
        <v>120</v>
      </c>
      <c r="F75">
        <v>36</v>
      </c>
    </row>
    <row r="76" spans="1:6" x14ac:dyDescent="0.2">
      <c r="A76" s="1">
        <v>45888</v>
      </c>
      <c r="B76" t="s">
        <v>6</v>
      </c>
      <c r="C76" t="s">
        <v>8</v>
      </c>
      <c r="D76">
        <v>2</v>
      </c>
      <c r="E76">
        <v>500</v>
      </c>
      <c r="F76">
        <v>100</v>
      </c>
    </row>
    <row r="77" spans="1:6" x14ac:dyDescent="0.2">
      <c r="A77" s="1">
        <v>45893</v>
      </c>
      <c r="B77" t="s">
        <v>13</v>
      </c>
      <c r="C77" t="s">
        <v>12</v>
      </c>
      <c r="D77">
        <v>1</v>
      </c>
      <c r="E77">
        <v>1200</v>
      </c>
      <c r="F77">
        <v>300</v>
      </c>
    </row>
    <row r="78" spans="1:6" x14ac:dyDescent="0.2">
      <c r="A78" s="1">
        <v>45894</v>
      </c>
      <c r="B78" t="s">
        <v>6</v>
      </c>
      <c r="C78" t="s">
        <v>11</v>
      </c>
      <c r="D78">
        <v>3</v>
      </c>
      <c r="E78">
        <v>1800</v>
      </c>
      <c r="F78">
        <v>504</v>
      </c>
    </row>
    <row r="79" spans="1:6" x14ac:dyDescent="0.2">
      <c r="A79" s="1">
        <v>45899</v>
      </c>
      <c r="B79" t="s">
        <v>6</v>
      </c>
      <c r="C79" t="s">
        <v>8</v>
      </c>
      <c r="D79">
        <v>6</v>
      </c>
      <c r="E79">
        <v>1500</v>
      </c>
      <c r="F79">
        <v>300</v>
      </c>
    </row>
    <row r="80" spans="1:6" x14ac:dyDescent="0.2">
      <c r="A80" s="1">
        <v>45901</v>
      </c>
      <c r="B80" t="s">
        <v>6</v>
      </c>
      <c r="C80" t="s">
        <v>11</v>
      </c>
      <c r="D80">
        <v>1</v>
      </c>
      <c r="E80">
        <v>600</v>
      </c>
      <c r="F80">
        <v>168</v>
      </c>
    </row>
    <row r="81" spans="1:6" x14ac:dyDescent="0.2">
      <c r="A81" s="1">
        <v>45909</v>
      </c>
      <c r="B81" t="s">
        <v>6</v>
      </c>
      <c r="C81" t="s">
        <v>10</v>
      </c>
      <c r="D81">
        <v>3</v>
      </c>
      <c r="E81">
        <v>75</v>
      </c>
      <c r="F81">
        <v>26.25</v>
      </c>
    </row>
    <row r="82" spans="1:6" x14ac:dyDescent="0.2">
      <c r="A82" s="1">
        <v>45909</v>
      </c>
      <c r="B82" t="s">
        <v>13</v>
      </c>
      <c r="C82" t="s">
        <v>10</v>
      </c>
      <c r="D82">
        <v>1</v>
      </c>
      <c r="E82">
        <v>25</v>
      </c>
      <c r="F82">
        <v>8.75</v>
      </c>
    </row>
    <row r="83" spans="1:6" x14ac:dyDescent="0.2">
      <c r="A83" s="1">
        <v>45910</v>
      </c>
      <c r="B83" t="s">
        <v>6</v>
      </c>
      <c r="C83" t="s">
        <v>12</v>
      </c>
      <c r="D83">
        <v>4</v>
      </c>
      <c r="E83">
        <v>4800</v>
      </c>
      <c r="F83">
        <v>1200</v>
      </c>
    </row>
    <row r="84" spans="1:6" x14ac:dyDescent="0.2">
      <c r="A84" s="1">
        <v>45915</v>
      </c>
      <c r="B84" t="s">
        <v>6</v>
      </c>
      <c r="C84" t="s">
        <v>8</v>
      </c>
      <c r="D84">
        <v>2</v>
      </c>
      <c r="E84">
        <v>500</v>
      </c>
      <c r="F84">
        <v>100</v>
      </c>
    </row>
    <row r="85" spans="1:6" x14ac:dyDescent="0.2">
      <c r="A85" s="1">
        <v>45917</v>
      </c>
      <c r="B85" t="s">
        <v>6</v>
      </c>
      <c r="C85" t="s">
        <v>10</v>
      </c>
      <c r="D85">
        <v>5</v>
      </c>
      <c r="E85">
        <v>125</v>
      </c>
      <c r="F85">
        <v>43.75</v>
      </c>
    </row>
    <row r="86" spans="1:6" x14ac:dyDescent="0.2">
      <c r="A86" s="1">
        <v>45918</v>
      </c>
      <c r="B86" t="s">
        <v>6</v>
      </c>
      <c r="C86" t="s">
        <v>12</v>
      </c>
      <c r="D86">
        <v>3</v>
      </c>
      <c r="E86">
        <v>3600</v>
      </c>
      <c r="F86">
        <v>900</v>
      </c>
    </row>
    <row r="87" spans="1:6" x14ac:dyDescent="0.2">
      <c r="A87" s="1">
        <v>45921</v>
      </c>
      <c r="B87" t="s">
        <v>13</v>
      </c>
      <c r="C87" t="s">
        <v>11</v>
      </c>
      <c r="D87">
        <v>1</v>
      </c>
      <c r="E87">
        <v>600</v>
      </c>
      <c r="F87">
        <v>168</v>
      </c>
    </row>
    <row r="88" spans="1:6" x14ac:dyDescent="0.2">
      <c r="A88" s="1">
        <v>45922</v>
      </c>
      <c r="B88" t="s">
        <v>9</v>
      </c>
      <c r="C88" t="s">
        <v>7</v>
      </c>
      <c r="D88">
        <v>8</v>
      </c>
      <c r="E88">
        <v>1200</v>
      </c>
      <c r="F88">
        <v>264</v>
      </c>
    </row>
    <row r="89" spans="1:6" x14ac:dyDescent="0.2">
      <c r="A89" s="1">
        <v>45925</v>
      </c>
      <c r="B89" t="s">
        <v>13</v>
      </c>
      <c r="C89" t="s">
        <v>14</v>
      </c>
      <c r="D89">
        <v>4</v>
      </c>
      <c r="E89">
        <v>320</v>
      </c>
      <c r="F89">
        <v>128</v>
      </c>
    </row>
    <row r="90" spans="1:6" x14ac:dyDescent="0.2">
      <c r="A90" s="1">
        <v>45927</v>
      </c>
      <c r="B90" t="s">
        <v>9</v>
      </c>
      <c r="C90" t="s">
        <v>16</v>
      </c>
      <c r="D90">
        <v>1</v>
      </c>
      <c r="E90">
        <v>40</v>
      </c>
      <c r="F90">
        <v>12</v>
      </c>
    </row>
    <row r="91" spans="1:6" x14ac:dyDescent="0.2">
      <c r="A91" s="1">
        <v>45928</v>
      </c>
      <c r="B91" t="s">
        <v>13</v>
      </c>
      <c r="C91" t="s">
        <v>8</v>
      </c>
      <c r="D91">
        <v>1</v>
      </c>
      <c r="E91">
        <v>250</v>
      </c>
      <c r="F91">
        <v>50</v>
      </c>
    </row>
    <row r="92" spans="1:6" x14ac:dyDescent="0.2">
      <c r="A92" s="1">
        <v>45928</v>
      </c>
      <c r="B92" t="s">
        <v>9</v>
      </c>
      <c r="C92" t="s">
        <v>10</v>
      </c>
      <c r="D92">
        <v>8</v>
      </c>
      <c r="E92">
        <v>200</v>
      </c>
      <c r="F92">
        <v>70</v>
      </c>
    </row>
    <row r="93" spans="1:6" x14ac:dyDescent="0.2">
      <c r="A93" s="1">
        <v>45928</v>
      </c>
      <c r="B93" t="s">
        <v>15</v>
      </c>
      <c r="C93" t="s">
        <v>11</v>
      </c>
      <c r="D93">
        <v>5</v>
      </c>
      <c r="E93">
        <v>3000</v>
      </c>
      <c r="F93">
        <v>840</v>
      </c>
    </row>
    <row r="94" spans="1:6" x14ac:dyDescent="0.2">
      <c r="A94" s="1">
        <v>45931</v>
      </c>
      <c r="B94" t="s">
        <v>13</v>
      </c>
      <c r="C94" t="s">
        <v>7</v>
      </c>
      <c r="D94">
        <v>6</v>
      </c>
      <c r="E94">
        <v>900</v>
      </c>
      <c r="F94">
        <v>198</v>
      </c>
    </row>
    <row r="95" spans="1:6" x14ac:dyDescent="0.2">
      <c r="A95" s="1">
        <v>45934</v>
      </c>
      <c r="B95" t="s">
        <v>15</v>
      </c>
      <c r="C95" t="s">
        <v>7</v>
      </c>
      <c r="D95">
        <v>6</v>
      </c>
      <c r="E95">
        <v>900</v>
      </c>
      <c r="F95">
        <v>198</v>
      </c>
    </row>
    <row r="96" spans="1:6" x14ac:dyDescent="0.2">
      <c r="A96" s="1">
        <v>45937</v>
      </c>
      <c r="B96" t="s">
        <v>15</v>
      </c>
      <c r="C96" t="s">
        <v>12</v>
      </c>
      <c r="D96">
        <v>9</v>
      </c>
      <c r="E96">
        <v>10800</v>
      </c>
      <c r="F96">
        <v>2700</v>
      </c>
    </row>
    <row r="97" spans="1:6" x14ac:dyDescent="0.2">
      <c r="A97" s="1">
        <v>45946</v>
      </c>
      <c r="B97" t="s">
        <v>15</v>
      </c>
      <c r="C97" t="s">
        <v>10</v>
      </c>
      <c r="D97">
        <v>7</v>
      </c>
      <c r="E97">
        <v>175</v>
      </c>
      <c r="F97">
        <v>61.249999999999901</v>
      </c>
    </row>
    <row r="98" spans="1:6" x14ac:dyDescent="0.2">
      <c r="A98" s="1">
        <v>45950</v>
      </c>
      <c r="B98" t="s">
        <v>9</v>
      </c>
      <c r="C98" t="s">
        <v>16</v>
      </c>
      <c r="D98">
        <v>7</v>
      </c>
      <c r="E98">
        <v>280</v>
      </c>
      <c r="F98">
        <v>84</v>
      </c>
    </row>
    <row r="99" spans="1:6" x14ac:dyDescent="0.2">
      <c r="A99" s="1">
        <v>45951</v>
      </c>
      <c r="B99" t="s">
        <v>13</v>
      </c>
      <c r="C99" t="s">
        <v>8</v>
      </c>
      <c r="D99">
        <v>2</v>
      </c>
      <c r="E99">
        <v>500</v>
      </c>
      <c r="F99">
        <v>100</v>
      </c>
    </row>
    <row r="100" spans="1:6" x14ac:dyDescent="0.2">
      <c r="A100" s="1">
        <v>45953</v>
      </c>
      <c r="B100" t="s">
        <v>15</v>
      </c>
      <c r="C100" t="s">
        <v>10</v>
      </c>
      <c r="D100">
        <v>5</v>
      </c>
      <c r="E100">
        <v>125</v>
      </c>
      <c r="F100">
        <v>43.75</v>
      </c>
    </row>
    <row r="101" spans="1:6" x14ac:dyDescent="0.2">
      <c r="A101" s="1">
        <v>45958</v>
      </c>
      <c r="B101" t="s">
        <v>9</v>
      </c>
      <c r="C101" t="s">
        <v>11</v>
      </c>
      <c r="D101">
        <v>7</v>
      </c>
      <c r="E101">
        <v>4200</v>
      </c>
      <c r="F101">
        <v>1176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763AC-421C-174D-9619-C156D2F5C2DE}">
  <dimension ref="A3:C4"/>
  <sheetViews>
    <sheetView workbookViewId="0">
      <selection activeCell="A3" sqref="A3:C4"/>
    </sheetView>
  </sheetViews>
  <sheetFormatPr baseColWidth="10" defaultRowHeight="15" x14ac:dyDescent="0.2"/>
  <cols>
    <col min="1" max="1" width="11" bestFit="1" customWidth="1"/>
    <col min="2" max="2" width="11.1640625" bestFit="1" customWidth="1"/>
    <col min="3" max="3" width="12.6640625" bestFit="1" customWidth="1"/>
  </cols>
  <sheetData>
    <row r="3" spans="1:3" x14ac:dyDescent="0.2">
      <c r="A3" t="s">
        <v>17</v>
      </c>
      <c r="B3" t="s">
        <v>20</v>
      </c>
      <c r="C3" t="s">
        <v>32</v>
      </c>
    </row>
    <row r="4" spans="1:3" x14ac:dyDescent="0.2">
      <c r="A4">
        <v>202525</v>
      </c>
      <c r="B4">
        <v>51545.25</v>
      </c>
      <c r="C4" s="6">
        <f>GETPIVOTDATA("Sum of Profit",$A$3)/GETPIVOTDATA("Sum of Sales",$A$3)*100</f>
        <v>25.451302308356993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94806-10EF-495A-B3B1-C80D1765EFC4}">
  <dimension ref="A3:B14"/>
  <sheetViews>
    <sheetView zoomScale="184" zoomScaleNormal="184" workbookViewId="0">
      <selection activeCell="B3" sqref="B3"/>
    </sheetView>
  </sheetViews>
  <sheetFormatPr baseColWidth="10" defaultColWidth="8.83203125" defaultRowHeight="15" x14ac:dyDescent="0.2"/>
  <cols>
    <col min="1" max="1" width="13" bestFit="1" customWidth="1"/>
    <col min="2" max="2" width="11.83203125" bestFit="1" customWidth="1"/>
  </cols>
  <sheetData>
    <row r="3" spans="1:2" x14ac:dyDescent="0.2">
      <c r="A3" s="2" t="s">
        <v>18</v>
      </c>
      <c r="B3" t="s">
        <v>17</v>
      </c>
    </row>
    <row r="4" spans="1:2" x14ac:dyDescent="0.2">
      <c r="A4" s="3" t="s">
        <v>21</v>
      </c>
      <c r="B4">
        <v>19745</v>
      </c>
    </row>
    <row r="5" spans="1:2" x14ac:dyDescent="0.2">
      <c r="A5" s="3" t="s">
        <v>22</v>
      </c>
      <c r="B5">
        <v>26660</v>
      </c>
    </row>
    <row r="6" spans="1:2" x14ac:dyDescent="0.2">
      <c r="A6" s="3" t="s">
        <v>23</v>
      </c>
      <c r="B6">
        <v>18100</v>
      </c>
    </row>
    <row r="7" spans="1:2" x14ac:dyDescent="0.2">
      <c r="A7" s="3" t="s">
        <v>24</v>
      </c>
      <c r="B7">
        <v>14720</v>
      </c>
    </row>
    <row r="8" spans="1:2" x14ac:dyDescent="0.2">
      <c r="A8" s="3" t="s">
        <v>25</v>
      </c>
      <c r="B8">
        <v>18785</v>
      </c>
    </row>
    <row r="9" spans="1:2" x14ac:dyDescent="0.2">
      <c r="A9" s="3" t="s">
        <v>26</v>
      </c>
      <c r="B9">
        <v>19455</v>
      </c>
    </row>
    <row r="10" spans="1:2" x14ac:dyDescent="0.2">
      <c r="A10" s="3" t="s">
        <v>27</v>
      </c>
      <c r="B10">
        <v>24590</v>
      </c>
    </row>
    <row r="11" spans="1:2" x14ac:dyDescent="0.2">
      <c r="A11" s="3" t="s">
        <v>28</v>
      </c>
      <c r="B11">
        <v>27255</v>
      </c>
    </row>
    <row r="12" spans="1:2" x14ac:dyDescent="0.2">
      <c r="A12" s="3" t="s">
        <v>29</v>
      </c>
      <c r="B12">
        <v>15335</v>
      </c>
    </row>
    <row r="13" spans="1:2" x14ac:dyDescent="0.2">
      <c r="A13" s="3" t="s">
        <v>30</v>
      </c>
      <c r="B13">
        <v>17880</v>
      </c>
    </row>
    <row r="14" spans="1:2" x14ac:dyDescent="0.2">
      <c r="A14" s="3" t="s">
        <v>19</v>
      </c>
      <c r="B14">
        <v>202525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A2E82-A7C4-4042-86D1-65F071FE07C9}">
  <dimension ref="A3:B14"/>
  <sheetViews>
    <sheetView workbookViewId="0">
      <selection activeCell="I21" sqref="I21"/>
    </sheetView>
  </sheetViews>
  <sheetFormatPr baseColWidth="10" defaultRowHeight="15" x14ac:dyDescent="0.2"/>
  <cols>
    <col min="1" max="1" width="12.1640625" bestFit="1" customWidth="1"/>
    <col min="2" max="2" width="11.1640625" bestFit="1" customWidth="1"/>
    <col min="3" max="47" width="15.1640625" bestFit="1" customWidth="1"/>
    <col min="48" max="48" width="10" bestFit="1" customWidth="1"/>
  </cols>
  <sheetData>
    <row r="3" spans="1:2" x14ac:dyDescent="0.2">
      <c r="A3" s="2" t="s">
        <v>18</v>
      </c>
      <c r="B3" t="s">
        <v>20</v>
      </c>
    </row>
    <row r="4" spans="1:2" x14ac:dyDescent="0.2">
      <c r="A4" s="3" t="s">
        <v>21</v>
      </c>
      <c r="B4">
        <v>5229.25</v>
      </c>
    </row>
    <row r="5" spans="1:2" x14ac:dyDescent="0.2">
      <c r="A5" s="3" t="s">
        <v>22</v>
      </c>
      <c r="B5">
        <v>6732.5</v>
      </c>
    </row>
    <row r="6" spans="1:2" x14ac:dyDescent="0.2">
      <c r="A6" s="3" t="s">
        <v>23</v>
      </c>
      <c r="B6">
        <v>4656</v>
      </c>
    </row>
    <row r="7" spans="1:2" x14ac:dyDescent="0.2">
      <c r="A7" s="3" t="s">
        <v>24</v>
      </c>
      <c r="B7">
        <v>3666</v>
      </c>
    </row>
    <row r="8" spans="1:2" x14ac:dyDescent="0.2">
      <c r="A8" s="3" t="s">
        <v>25</v>
      </c>
      <c r="B8">
        <v>4783.25</v>
      </c>
    </row>
    <row r="9" spans="1:2" x14ac:dyDescent="0.2">
      <c r="A9" s="3" t="s">
        <v>26</v>
      </c>
      <c r="B9">
        <v>4938.25</v>
      </c>
    </row>
    <row r="10" spans="1:2" x14ac:dyDescent="0.2">
      <c r="A10" s="3" t="s">
        <v>27</v>
      </c>
      <c r="B10">
        <v>6191</v>
      </c>
    </row>
    <row r="11" spans="1:2" x14ac:dyDescent="0.2">
      <c r="A11" s="3" t="s">
        <v>28</v>
      </c>
      <c r="B11">
        <v>6809.25</v>
      </c>
    </row>
    <row r="12" spans="1:2" x14ac:dyDescent="0.2">
      <c r="A12" s="3" t="s">
        <v>29</v>
      </c>
      <c r="B12">
        <v>3978.75</v>
      </c>
    </row>
    <row r="13" spans="1:2" x14ac:dyDescent="0.2">
      <c r="A13" s="3" t="s">
        <v>30</v>
      </c>
      <c r="B13">
        <v>4561</v>
      </c>
    </row>
    <row r="14" spans="1:2" x14ac:dyDescent="0.2">
      <c r="A14" s="3" t="s">
        <v>19</v>
      </c>
      <c r="B14">
        <v>51545.25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CF629-4190-45A1-8D04-F606D4DFC321}">
  <dimension ref="A3:B8"/>
  <sheetViews>
    <sheetView topLeftCell="B1" zoomScale="165" zoomScaleNormal="165" workbookViewId="0">
      <selection activeCell="L17" sqref="L17"/>
    </sheetView>
  </sheetViews>
  <sheetFormatPr baseColWidth="10" defaultColWidth="8.83203125" defaultRowHeight="15" x14ac:dyDescent="0.2"/>
  <cols>
    <col min="1" max="1" width="12.5" bestFit="1" customWidth="1"/>
    <col min="2" max="2" width="11.5" bestFit="1" customWidth="1"/>
  </cols>
  <sheetData>
    <row r="3" spans="1:2" x14ac:dyDescent="0.2">
      <c r="A3" s="2" t="s">
        <v>18</v>
      </c>
      <c r="B3" t="s">
        <v>20</v>
      </c>
    </row>
    <row r="4" spans="1:2" x14ac:dyDescent="0.2">
      <c r="A4" s="3" t="s">
        <v>13</v>
      </c>
      <c r="B4" s="4">
        <v>18157.25</v>
      </c>
    </row>
    <row r="5" spans="1:2" x14ac:dyDescent="0.2">
      <c r="A5" s="3" t="s">
        <v>6</v>
      </c>
      <c r="B5" s="4">
        <v>12807.5</v>
      </c>
    </row>
    <row r="6" spans="1:2" x14ac:dyDescent="0.2">
      <c r="A6" s="3" t="s">
        <v>15</v>
      </c>
      <c r="B6" s="4">
        <v>10722.25</v>
      </c>
    </row>
    <row r="7" spans="1:2" x14ac:dyDescent="0.2">
      <c r="A7" s="3" t="s">
        <v>9</v>
      </c>
      <c r="B7" s="4">
        <v>9858.25</v>
      </c>
    </row>
    <row r="8" spans="1:2" x14ac:dyDescent="0.2">
      <c r="A8" s="3" t="s">
        <v>19</v>
      </c>
      <c r="B8">
        <v>51545.25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0BC02-C505-47AF-B516-B4C1474EAD13}">
  <dimension ref="A3:B9"/>
  <sheetViews>
    <sheetView workbookViewId="0">
      <selection activeCell="L24" sqref="L24"/>
    </sheetView>
  </sheetViews>
  <sheetFormatPr baseColWidth="10" defaultColWidth="8.83203125" defaultRowHeight="15" x14ac:dyDescent="0.2"/>
  <cols>
    <col min="1" max="1" width="12.5" bestFit="1" customWidth="1"/>
    <col min="2" max="2" width="11.5" bestFit="1" customWidth="1"/>
  </cols>
  <sheetData>
    <row r="3" spans="1:2" x14ac:dyDescent="0.2">
      <c r="A3" s="2" t="s">
        <v>18</v>
      </c>
      <c r="B3" t="s">
        <v>17</v>
      </c>
    </row>
    <row r="4" spans="1:2" x14ac:dyDescent="0.2">
      <c r="A4" s="3" t="s">
        <v>12</v>
      </c>
      <c r="B4">
        <v>140400</v>
      </c>
    </row>
    <row r="5" spans="1:2" x14ac:dyDescent="0.2">
      <c r="A5" s="3" t="s">
        <v>11</v>
      </c>
      <c r="B5">
        <v>33600</v>
      </c>
    </row>
    <row r="6" spans="1:2" x14ac:dyDescent="0.2">
      <c r="A6" s="3" t="s">
        <v>8</v>
      </c>
      <c r="B6">
        <v>13250</v>
      </c>
    </row>
    <row r="7" spans="1:2" x14ac:dyDescent="0.2">
      <c r="A7" s="3" t="s">
        <v>7</v>
      </c>
      <c r="B7">
        <v>7500</v>
      </c>
    </row>
    <row r="8" spans="1:2" x14ac:dyDescent="0.2">
      <c r="A8" s="3" t="s">
        <v>14</v>
      </c>
      <c r="B8">
        <v>2960</v>
      </c>
    </row>
    <row r="9" spans="1:2" x14ac:dyDescent="0.2">
      <c r="A9" s="3" t="s">
        <v>19</v>
      </c>
      <c r="B9">
        <v>197710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Data</vt:lpstr>
      <vt:lpstr>Profit margin</vt:lpstr>
      <vt:lpstr>Sales Trend by Month</vt:lpstr>
      <vt:lpstr>Profit Trend by Month</vt:lpstr>
      <vt:lpstr>Profit By Region</vt:lpstr>
      <vt:lpstr>Top products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JOHNPAUL VUTIKONDA</dc:creator>
  <cp:lastModifiedBy>Brian Shim</cp:lastModifiedBy>
  <dcterms:created xsi:type="dcterms:W3CDTF">2025-10-30T17:21:52Z</dcterms:created>
  <dcterms:modified xsi:type="dcterms:W3CDTF">2026-01-29T15:05:56Z</dcterms:modified>
</cp:coreProperties>
</file>